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wmf" ContentType="image/x-w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780" firstSheet="1" activeTab="10"/>
  </bookViews>
  <sheets>
    <sheet name="Data in figure13 and table 3" sheetId="7" r:id="rId1"/>
    <sheet name="Data in table 4" sheetId="6" r:id="rId2"/>
    <sheet name="Data in table 5" sheetId="1" r:id="rId3"/>
    <sheet name="Data in figure 14" sheetId="8" r:id="rId4"/>
    <sheet name="Data in table 7" sheetId="9" r:id="rId5"/>
    <sheet name="Data in table 8" sheetId="10" r:id="rId6"/>
    <sheet name="Data in figure 15" sheetId="11" r:id="rId7"/>
    <sheet name="Data in figure16" sheetId="12" r:id="rId8"/>
    <sheet name="Data in table 9 &amp; figure 17" sheetId="13" r:id="rId9"/>
    <sheet name="Data in table 10" sheetId="14" r:id="rId10"/>
    <sheet name="Parameter analysis" sheetId="16" r:id="rId11"/>
  </sheets>
  <definedNames>
    <definedName name="_xlnm._FilterDatabase" localSheetId="0" hidden="1">'Data in figure13 and table 3'!$R$2:$V$33</definedName>
    <definedName name="_xlnm._FilterDatabase" localSheetId="2" hidden="1">'Data in table 5'!$A$81:$I$111</definedName>
    <definedName name="_xlnm._FilterDatabase" localSheetId="6" hidden="1">'Data in figure 15'!$A$1:$Z$62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<sst xmlns="http://schemas.openxmlformats.org/spreadsheetml/2006/main" count="1105" uniqueCount="166">
  <si>
    <t>nob</t>
  </si>
  <si>
    <t>nof</t>
  </si>
  <si>
    <t>a</t>
  </si>
  <si>
    <t>optimal</t>
  </si>
  <si>
    <t>-10%</t>
  </si>
  <si>
    <t>+10%</t>
  </si>
  <si>
    <t>Avg</t>
  </si>
  <si>
    <t>HMCR</t>
  </si>
  <si>
    <t>PAR</t>
  </si>
  <si>
    <r>
      <rPr>
        <i/>
        <sz val="12"/>
        <rFont val="Calibri"/>
        <charset val="0"/>
      </rPr>
      <t>P</t>
    </r>
    <r>
      <rPr>
        <i/>
        <vertAlign val="subscript"/>
        <sz val="12"/>
        <rFont val="Calibri"/>
        <charset val="0"/>
      </rPr>
      <t>HSS</t>
    </r>
  </si>
  <si>
    <t>NO.</t>
  </si>
  <si>
    <t>Fre</t>
  </si>
  <si>
    <t>Vol</t>
  </si>
  <si>
    <t>Wei</t>
  </si>
  <si>
    <t>Number of experiments</t>
  </si>
  <si>
    <t>DQN-40</t>
  </si>
  <si>
    <t>DDPG-40</t>
  </si>
  <si>
    <t>SA-40</t>
  </si>
  <si>
    <t>GA-40</t>
  </si>
  <si>
    <t>MBO-40</t>
  </si>
  <si>
    <t>CCMBO-40</t>
  </si>
  <si>
    <t>EMBO-40</t>
  </si>
  <si>
    <t>MBO-HSA-40</t>
  </si>
  <si>
    <t>min</t>
  </si>
  <si>
    <t>max</t>
  </si>
  <si>
    <t>Ave</t>
  </si>
  <si>
    <t>DQN-60</t>
  </si>
  <si>
    <t>DDPG-60</t>
  </si>
  <si>
    <t>SA-60</t>
  </si>
  <si>
    <t>GA-60</t>
  </si>
  <si>
    <t>MBO-60</t>
  </si>
  <si>
    <t>CCMBO-60</t>
  </si>
  <si>
    <t>EMBO-60</t>
  </si>
  <si>
    <t>MBO-HSA-60</t>
  </si>
  <si>
    <t>DQN-80</t>
  </si>
  <si>
    <t>DDPG-80</t>
  </si>
  <si>
    <t>SA-80</t>
  </si>
  <si>
    <t>GA-80</t>
  </si>
  <si>
    <t>MBO-80</t>
  </si>
  <si>
    <t>CCMBO-80</t>
  </si>
  <si>
    <t>EMBO-80</t>
  </si>
  <si>
    <t>MBO-HSA-80</t>
  </si>
  <si>
    <t>DQN-100</t>
  </si>
  <si>
    <t>DDPG-100</t>
  </si>
  <si>
    <t>SA-100</t>
  </si>
  <si>
    <t>GA-100</t>
  </si>
  <si>
    <t>MBO-100</t>
  </si>
  <si>
    <t>CCMBO-100</t>
  </si>
  <si>
    <t>EMBO-100</t>
  </si>
  <si>
    <t>MBO-HSA-100</t>
  </si>
  <si>
    <t>DQN-120</t>
  </si>
  <si>
    <t>DDPG-120</t>
  </si>
  <si>
    <t>SA-120</t>
  </si>
  <si>
    <t>GA-120</t>
  </si>
  <si>
    <t>MBO-120</t>
  </si>
  <si>
    <t>CCMBO-120</t>
  </si>
  <si>
    <t>EMBO-120</t>
  </si>
  <si>
    <t>MBO-HSA-120</t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</si>
  <si>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>i</t>
    </r>
    <r>
      <rPr>
        <sz val="12"/>
        <rFont val="Calibri"/>
        <charset val="0"/>
      </rPr>
      <t xml:space="preserve"> =40</t>
    </r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</si>
  <si>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 xml:space="preserve">i </t>
    </r>
    <r>
      <rPr>
        <sz val="12"/>
        <rFont val="Calibri"/>
        <charset val="0"/>
      </rPr>
      <t>=60</t>
    </r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</si>
  <si>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>i</t>
    </r>
    <r>
      <rPr>
        <i/>
        <sz val="12"/>
        <rFont val="Calibri"/>
        <charset val="0"/>
      </rPr>
      <t xml:space="preserve"> </t>
    </r>
    <r>
      <rPr>
        <sz val="12"/>
        <rFont val="Calibri"/>
        <charset val="0"/>
      </rPr>
      <t>= 80</t>
    </r>
  </si>
  <si>
    <r>
      <rPr>
        <i/>
        <sz val="12"/>
        <rFont val="Calibri"/>
        <charset val="0"/>
      </rPr>
      <t xml:space="preserve"> N</t>
    </r>
    <r>
      <rPr>
        <i/>
        <vertAlign val="subscript"/>
        <sz val="12"/>
        <rFont val="Calibri"/>
        <charset val="0"/>
      </rPr>
      <t xml:space="preserve">i </t>
    </r>
    <r>
      <rPr>
        <i/>
        <sz val="12"/>
        <rFont val="Calibri"/>
        <charset val="0"/>
      </rPr>
      <t xml:space="preserve"> </t>
    </r>
    <r>
      <rPr>
        <sz val="12"/>
        <rFont val="Calibri"/>
        <charset val="0"/>
      </rPr>
      <t>= 120</t>
    </r>
  </si>
  <si>
    <t>N_iter</t>
  </si>
  <si>
    <t>GA</t>
  </si>
  <si>
    <t>SA</t>
  </si>
  <si>
    <t>MBO</t>
  </si>
  <si>
    <t>EMBO</t>
  </si>
  <si>
    <t>CCMBO</t>
  </si>
  <si>
    <t>MBO-HSA</t>
  </si>
  <si>
    <t>MBO+I_1</t>
  </si>
  <si>
    <t>MBO+I_2</t>
  </si>
  <si>
    <t>MBO+I_3</t>
  </si>
  <si>
    <t>MBO+I_1&amp;I_2</t>
  </si>
  <si>
    <t>MBO+I_1&amp;I_3</t>
  </si>
  <si>
    <t>MBO+I_2&amp;I_3</t>
  </si>
  <si>
    <t>MIN</t>
  </si>
  <si>
    <t>MAX</t>
  </si>
  <si>
    <r>
      <rPr>
        <i/>
        <sz val="12"/>
        <rFont val="Calibri"/>
        <charset val="0"/>
      </rPr>
      <t>T</t>
    </r>
    <r>
      <rPr>
        <i/>
        <vertAlign val="subscript"/>
        <sz val="12"/>
        <rFont val="Calibri"/>
        <charset val="0"/>
      </rPr>
      <t>BR</t>
    </r>
    <r>
      <rPr>
        <sz val="12"/>
        <rFont val="Calibri"/>
        <charset val="0"/>
      </rPr>
      <t>(s)</t>
    </r>
  </si>
  <si>
    <t>Gap(%)</t>
  </si>
  <si>
    <t>x</t>
  </si>
  <si>
    <t>-</t>
  </si>
  <si>
    <t>√</t>
  </si>
  <si>
    <t>No.</t>
  </si>
  <si>
    <t>y</t>
  </si>
  <si>
    <t>z</t>
  </si>
  <si>
    <t>LMD</t>
  </si>
  <si>
    <t>Area</t>
  </si>
  <si>
    <t>A</t>
  </si>
  <si>
    <t>C</t>
  </si>
  <si>
    <t>B</t>
  </si>
  <si>
    <t>Note: LMD is solved by algorithm</t>
  </si>
  <si>
    <r>
      <rPr>
        <i/>
        <sz val="12"/>
        <rFont val="Calibri"/>
        <charset val="0"/>
      </rPr>
      <t>N</t>
    </r>
    <r>
      <rPr>
        <i/>
        <vertAlign val="subscript"/>
        <sz val="12"/>
        <rFont val="Calibri"/>
        <charset val="0"/>
      </rPr>
      <t>i</t>
    </r>
  </si>
  <si>
    <t>Fre(1~30)</t>
  </si>
  <si>
    <t>Vol(1~10)</t>
  </si>
  <si>
    <t>Wei(1~25)</t>
  </si>
  <si>
    <t>AlassifiAation</t>
  </si>
  <si>
    <t>Classification</t>
  </si>
  <si>
    <t>No. in table 4</t>
  </si>
  <si>
    <t>4-4-12</t>
  </si>
  <si>
    <t>13-12-5</t>
  </si>
  <si>
    <t>10-8-12</t>
  </si>
  <si>
    <t>24-14-22</t>
  </si>
  <si>
    <t>CB-ASLM</t>
  </si>
  <si>
    <t>CBS-RS</t>
  </si>
  <si>
    <t>RS</t>
  </si>
  <si>
    <t>FS</t>
  </si>
  <si>
    <t>No.1</t>
  </si>
  <si>
    <t>No.2</t>
  </si>
  <si>
    <t>No.3</t>
  </si>
  <si>
    <t>POS</t>
  </si>
  <si>
    <t>DTSS</t>
  </si>
  <si>
    <t>SUM</t>
  </si>
  <si>
    <t>No.4</t>
  </si>
  <si>
    <t>No.5</t>
  </si>
  <si>
    <t>No.6</t>
  </si>
  <si>
    <t>Task</t>
  </si>
  <si>
    <t>t(s)</t>
  </si>
  <si>
    <r>
      <rPr>
        <i/>
        <sz val="11"/>
        <rFont val="Calibri"/>
        <charset val="0"/>
      </rPr>
      <t>N</t>
    </r>
    <r>
      <rPr>
        <i/>
        <vertAlign val="subscript"/>
        <sz val="11"/>
        <rFont val="Calibri"/>
        <charset val="0"/>
      </rPr>
      <t>r</t>
    </r>
  </si>
  <si>
    <t>A/B/C</t>
  </si>
  <si>
    <t>3-5-12</t>
  </si>
  <si>
    <t>TB</t>
  </si>
  <si>
    <t>6-5-9</t>
  </si>
  <si>
    <t>3-9-8</t>
  </si>
  <si>
    <t>11-7-22</t>
  </si>
  <si>
    <t>14-8-18</t>
  </si>
  <si>
    <t>7-12-21</t>
  </si>
  <si>
    <t>24-13-23</t>
  </si>
  <si>
    <t>18-20-22</t>
  </si>
  <si>
    <t>12-27-21</t>
  </si>
  <si>
    <r>
      <rPr>
        <i/>
        <sz val="11"/>
        <color theme="1"/>
        <rFont val="Times New Roman"/>
        <charset val="0"/>
      </rPr>
      <t xml:space="preserve">Nr </t>
    </r>
    <r>
      <rPr>
        <sz val="11"/>
        <color theme="1"/>
        <rFont val="Times New Roman"/>
        <charset val="0"/>
      </rPr>
      <t>=20</t>
    </r>
  </si>
  <si>
    <r>
      <rPr>
        <i/>
        <sz val="11"/>
        <color theme="1"/>
        <rFont val="Times New Roman"/>
        <charset val="0"/>
      </rPr>
      <t xml:space="preserve">Nr </t>
    </r>
    <r>
      <rPr>
        <sz val="11"/>
        <color theme="1"/>
        <rFont val="Times New Roman"/>
        <charset val="0"/>
      </rPr>
      <t>= 40</t>
    </r>
  </si>
  <si>
    <r>
      <rPr>
        <i/>
        <sz val="11"/>
        <color theme="1"/>
        <rFont val="Times New Roman"/>
        <charset val="0"/>
      </rPr>
      <t xml:space="preserve">Nr </t>
    </r>
    <r>
      <rPr>
        <sz val="11"/>
        <color theme="1"/>
        <rFont val="Times New Roman"/>
        <charset val="0"/>
      </rPr>
      <t>= 60</t>
    </r>
  </si>
  <si>
    <t>Shuttle number</t>
  </si>
  <si>
    <t>Equation(46)</t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</si>
  <si>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40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</si>
  <si>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60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</si>
  <si>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80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</si>
  <si>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100</t>
    </r>
  </si>
  <si>
    <r>
      <rPr>
        <i/>
        <sz val="12"/>
        <rFont val="Arial"/>
        <charset val="0"/>
      </rPr>
      <t>Ni</t>
    </r>
    <r>
      <rPr>
        <sz val="12"/>
        <rFont val="Arial"/>
        <charset val="0"/>
      </rPr>
      <t>= 120</t>
    </r>
  </si>
  <si>
    <t>Algo1</t>
  </si>
  <si>
    <t>Algo2</t>
  </si>
  <si>
    <t>Algo3</t>
  </si>
  <si>
    <t>Algo4</t>
  </si>
  <si>
    <t>Algo5</t>
  </si>
  <si>
    <t>Algo6</t>
  </si>
  <si>
    <t>Algo7</t>
  </si>
  <si>
    <t>Algo8</t>
  </si>
  <si>
    <t>DQN</t>
  </si>
  <si>
    <t>DDPG</t>
  </si>
  <si>
    <t>`</t>
  </si>
  <si>
    <t>p value</t>
  </si>
  <si>
    <t>Normality test</t>
  </si>
  <si>
    <t>X</t>
  </si>
  <si>
    <t>one-way ANOVA analysis</t>
  </si>
  <si>
    <t>p &lt; 0.05 There are significant differences among the algorithms.</t>
  </si>
  <si>
    <t>The results of all pairwise comparisons:</t>
  </si>
  <si>
    <t>Group A</t>
  </si>
  <si>
    <t>Group B</t>
  </si>
  <si>
    <t>MD</t>
  </si>
  <si>
    <t>Lb of CI</t>
  </si>
  <si>
    <t>Ub of CI</t>
  </si>
  <si>
    <t>p-value</t>
  </si>
  <si>
    <t>Remarkable</t>
  </si>
  <si>
    <t>***</t>
  </si>
  <si>
    <t>**</t>
  </si>
  <si>
    <t>*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</si>
</sst>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_ "/>
    <numFmt numFmtId="178" formatCode="0.00_);[Red]\(0.00\)"/>
    <numFmt numFmtId="179" formatCode="0_);[Red]\(0\)"/>
    <numFmt numFmtId="180" formatCode="0.0_);[Red]\(0.0\)"/>
  </numFmts>
  <fonts count="47">
    <font>
      <sz val="12"/>
      <name val="宋体"/>
      <charset val="134"/>
    </font>
    <font>
      <i/>
      <sz val="12"/>
      <name val="Arial"/>
      <charset val="0"/>
    </font>
    <font>
      <sz val="12"/>
      <name val="Arial"/>
      <charset val="0"/>
    </font>
    <font>
      <sz val="11"/>
      <name val="Calibri"/>
      <charset val="134"/>
    </font>
    <font>
      <sz val="11"/>
      <name val="Calibri"/>
      <charset val="0"/>
    </font>
    <font>
      <sz val="11"/>
      <name val="Calibri"/>
      <charset val="0"/>
    </font>
    <font>
      <sz val="12"/>
      <name val="Calibri"/>
      <charset val="0"/>
    </font>
    <font>
      <sz val="12"/>
      <name val="Calibri"/>
      <charset val="134"/>
    </font>
    <font>
      <sz val="11"/>
      <color theme="1"/>
      <name val="Calibri"/>
      <charset val="134"/>
    </font>
    <font>
      <sz val="12"/>
      <name val="Times New Roman"/>
      <charset val="0"/>
    </font>
    <font>
      <i/>
      <sz val="11"/>
      <name val="Calibri"/>
      <charset val="0"/>
    </font>
    <font>
      <sz val="11"/>
      <color theme="1"/>
      <name val="Calibri"/>
      <charset val="0"/>
    </font>
    <font>
      <b/>
      <sz val="11"/>
      <color rgb="FFFF0000"/>
      <name val="Calibri"/>
      <charset val="0"/>
    </font>
    <font>
      <sz val="11"/>
      <color theme="1"/>
      <name val="Times New Roman"/>
      <charset val="0"/>
    </font>
    <font>
      <i/>
      <sz val="11"/>
      <color theme="1"/>
      <name val="Times New Roman"/>
      <charset val="0"/>
    </font>
    <font>
      <b/>
      <i/>
      <sz val="11"/>
      <color theme="1"/>
      <name val="Times New Roman"/>
      <charset val="0"/>
    </font>
    <font>
      <sz val="11"/>
      <color rgb="FFFF0000"/>
      <name val="Calibri"/>
      <charset val="0"/>
    </font>
    <font>
      <i/>
      <sz val="12"/>
      <name val="Calibri"/>
      <charset val="0"/>
    </font>
    <font>
      <sz val="12"/>
      <color rgb="FFFF0000"/>
      <name val="Calibri"/>
      <charset val="0"/>
    </font>
    <font>
      <sz val="10.5"/>
      <color rgb="FF0000FF"/>
      <name val="Calibri"/>
      <charset val="0"/>
    </font>
    <font>
      <sz val="11"/>
      <name val="Consolas"/>
      <charset val="0"/>
    </font>
    <font>
      <sz val="11"/>
      <name val="宋体"/>
      <charset val="134"/>
    </font>
    <font>
      <sz val="9"/>
      <name val="Times New Roman"/>
      <charset val="0"/>
    </font>
    <font>
      <i/>
      <sz val="9"/>
      <name val="Times New Roman"/>
      <charset val="0"/>
    </font>
    <font>
      <sz val="12"/>
      <color rgb="FFFF0000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i/>
      <vertAlign val="subscript"/>
      <sz val="12"/>
      <name val="Calibri"/>
      <charset val="0"/>
    </font>
    <font>
      <i/>
      <vertAlign val="subscript"/>
      <sz val="11"/>
      <name val="Calibri"/>
      <charset val="0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8"/>
      </right>
      <top style="medium">
        <color auto="1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indexed="8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6" borderId="17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18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7" borderId="20" applyNumberFormat="0" applyAlignment="0" applyProtection="0">
      <alignment vertical="center"/>
    </xf>
    <xf numFmtId="0" fontId="35" fillId="8" borderId="21" applyNumberFormat="0" applyAlignment="0" applyProtection="0">
      <alignment vertical="center"/>
    </xf>
    <xf numFmtId="0" fontId="36" fillId="8" borderId="20" applyNumberFormat="0" applyAlignment="0" applyProtection="0">
      <alignment vertical="center"/>
    </xf>
    <xf numFmtId="0" fontId="37" fillId="9" borderId="22" applyNumberFormat="0" applyAlignment="0" applyProtection="0">
      <alignment vertical="center"/>
    </xf>
    <xf numFmtId="0" fontId="38" fillId="0" borderId="23" applyNumberFormat="0" applyFill="0" applyAlignment="0" applyProtection="0">
      <alignment vertical="center"/>
    </xf>
    <xf numFmtId="0" fontId="39" fillId="0" borderId="24" applyNumberFormat="0" applyFill="0" applyAlignment="0" applyProtection="0">
      <alignment vertical="center"/>
    </xf>
    <xf numFmtId="0" fontId="40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7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1" borderId="0" applyNumberFormat="0" applyBorder="0" applyAlignment="0" applyProtection="0">
      <alignment vertical="center"/>
    </xf>
    <xf numFmtId="0" fontId="44" fillId="2" borderId="0" applyNumberFormat="0" applyBorder="0" applyAlignment="0" applyProtection="0">
      <alignment vertical="center"/>
    </xf>
    <xf numFmtId="0" fontId="44" fillId="22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4" fillId="3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26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3" fillId="29" borderId="0" applyNumberFormat="0" applyBorder="0" applyAlignment="0" applyProtection="0">
      <alignment vertical="center"/>
    </xf>
    <xf numFmtId="0" fontId="43" fillId="3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0" fillId="0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0" fillId="0" borderId="0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 wrapText="1"/>
    </xf>
    <xf numFmtId="176" fontId="6" fillId="0" borderId="0" xfId="0" applyNumberFormat="1" applyFont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176" fontId="7" fillId="0" borderId="0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 wrapText="1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 wrapText="1"/>
    </xf>
    <xf numFmtId="178" fontId="6" fillId="0" borderId="0" xfId="0" applyNumberFormat="1" applyFont="1">
      <alignment vertical="center"/>
    </xf>
    <xf numFmtId="0" fontId="9" fillId="0" borderId="0" xfId="0" applyFont="1">
      <alignment vertical="center"/>
    </xf>
    <xf numFmtId="0" fontId="6" fillId="0" borderId="0" xfId="0" applyFont="1">
      <alignment vertical="center"/>
    </xf>
    <xf numFmtId="0" fontId="6" fillId="0" borderId="0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14" fontId="4" fillId="0" borderId="0" xfId="0" applyNumberFormat="1" applyFont="1" applyBorder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178" fontId="6" fillId="0" borderId="0" xfId="0" applyNumberFormat="1" applyFont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0" fontId="4" fillId="0" borderId="5" xfId="0" applyNumberFormat="1" applyFont="1" applyBorder="1" applyAlignment="1">
      <alignment horizontal="center" vertical="center" wrapText="1"/>
    </xf>
    <xf numFmtId="178" fontId="4" fillId="0" borderId="0" xfId="0" applyNumberFormat="1" applyFont="1" applyBorder="1" applyAlignment="1">
      <alignment horizontal="center" vertical="center" wrapText="1"/>
    </xf>
    <xf numFmtId="178" fontId="4" fillId="0" borderId="4" xfId="0" applyNumberFormat="1" applyFont="1" applyBorder="1" applyAlignment="1">
      <alignment horizontal="center" vertical="center" wrapText="1"/>
    </xf>
    <xf numFmtId="178" fontId="10" fillId="0" borderId="0" xfId="0" applyNumberFormat="1" applyFont="1" applyBorder="1" applyAlignment="1">
      <alignment horizontal="center" vertical="center" wrapText="1"/>
    </xf>
    <xf numFmtId="177" fontId="11" fillId="0" borderId="0" xfId="0" applyNumberFormat="1" applyFont="1" applyFill="1" applyAlignment="1">
      <alignment horizontal="center" vertical="center"/>
    </xf>
    <xf numFmtId="177" fontId="12" fillId="0" borderId="0" xfId="0" applyNumberFormat="1" applyFont="1" applyFill="1" applyAlignment="1">
      <alignment horizontal="center" vertical="center"/>
    </xf>
    <xf numFmtId="178" fontId="4" fillId="0" borderId="5" xfId="0" applyNumberFormat="1" applyFont="1" applyBorder="1" applyAlignment="1">
      <alignment horizontal="center" vertical="center" wrapText="1"/>
    </xf>
    <xf numFmtId="178" fontId="12" fillId="0" borderId="0" xfId="0" applyNumberFormat="1" applyFont="1" applyBorder="1" applyAlignment="1">
      <alignment horizontal="center" vertical="center" wrapText="1"/>
    </xf>
    <xf numFmtId="178" fontId="4" fillId="0" borderId="0" xfId="0" applyNumberFormat="1" applyFont="1" applyAlignment="1">
      <alignment horizontal="center" vertical="center" wrapText="1"/>
    </xf>
    <xf numFmtId="178" fontId="4" fillId="0" borderId="6" xfId="0" applyNumberFormat="1" applyFont="1" applyBorder="1" applyAlignment="1">
      <alignment horizontal="center" vertical="center" wrapText="1"/>
    </xf>
    <xf numFmtId="178" fontId="4" fillId="0" borderId="7" xfId="0" applyNumberFormat="1" applyFont="1" applyBorder="1" applyAlignment="1">
      <alignment horizontal="center" vertical="center" wrapText="1"/>
    </xf>
    <xf numFmtId="178" fontId="10" fillId="0" borderId="7" xfId="0" applyNumberFormat="1" applyFont="1" applyBorder="1" applyAlignment="1">
      <alignment horizontal="center" vertical="center" wrapText="1"/>
    </xf>
    <xf numFmtId="178" fontId="12" fillId="0" borderId="7" xfId="0" applyNumberFormat="1" applyFont="1" applyBorder="1" applyAlignment="1">
      <alignment horizontal="center" vertical="center" wrapText="1"/>
    </xf>
    <xf numFmtId="178" fontId="4" fillId="0" borderId="8" xfId="0" applyNumberFormat="1" applyFont="1" applyBorder="1" applyAlignment="1">
      <alignment horizontal="center" vertical="center" wrapText="1"/>
    </xf>
    <xf numFmtId="49" fontId="13" fillId="0" borderId="0" xfId="0" applyNumberFormat="1" applyFont="1" applyFill="1" applyBorder="1" applyAlignment="1">
      <alignment horizontal="center" vertical="center"/>
    </xf>
    <xf numFmtId="0" fontId="14" fillId="2" borderId="0" xfId="0" applyFont="1" applyFill="1" applyBorder="1" applyAlignment="1">
      <alignment horizontal="center" vertical="center"/>
    </xf>
    <xf numFmtId="0" fontId="13" fillId="2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7" fontId="13" fillId="0" borderId="0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177" fontId="13" fillId="0" borderId="0" xfId="0" applyNumberFormat="1" applyFont="1" applyFill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0" fontId="11" fillId="4" borderId="0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177" fontId="11" fillId="0" borderId="0" xfId="0" applyNumberFormat="1" applyFont="1" applyFill="1" applyBorder="1" applyAlignment="1">
      <alignment horizontal="center" vertical="center"/>
    </xf>
    <xf numFmtId="179" fontId="11" fillId="3" borderId="0" xfId="0" applyNumberFormat="1" applyFont="1" applyFill="1" applyBorder="1" applyAlignment="1">
      <alignment horizontal="center" vertical="center"/>
    </xf>
    <xf numFmtId="179" fontId="11" fillId="4" borderId="0" xfId="0" applyNumberFormat="1" applyFont="1" applyFill="1" applyBorder="1" applyAlignment="1">
      <alignment horizontal="center" vertical="center"/>
    </xf>
    <xf numFmtId="179" fontId="11" fillId="5" borderId="0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Border="1" applyAlignment="1">
      <alignment horizontal="center" vertical="center" wrapText="1"/>
    </xf>
    <xf numFmtId="177" fontId="15" fillId="0" borderId="0" xfId="0" applyNumberFormat="1" applyFont="1" applyFill="1" applyBorder="1" applyAlignment="1">
      <alignment horizontal="center" vertical="center"/>
    </xf>
    <xf numFmtId="179" fontId="11" fillId="0" borderId="0" xfId="0" applyNumberFormat="1" applyFont="1" applyFill="1" applyBorder="1" applyAlignment="1">
      <alignment horizontal="center" vertical="center"/>
    </xf>
    <xf numFmtId="178" fontId="6" fillId="0" borderId="0" xfId="0" applyNumberFormat="1" applyFont="1" applyBorder="1" applyAlignment="1">
      <alignment horizontal="center" vertical="center"/>
    </xf>
    <xf numFmtId="177" fontId="16" fillId="0" borderId="0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49" fontId="11" fillId="0" borderId="0" xfId="0" applyNumberFormat="1" applyFont="1" applyFill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78" fontId="6" fillId="0" borderId="2" xfId="0" applyNumberFormat="1" applyFont="1" applyBorder="1" applyAlignment="1">
      <alignment horizontal="center" vertical="center"/>
    </xf>
    <xf numFmtId="0" fontId="0" fillId="0" borderId="2" xfId="0" applyBorder="1">
      <alignment vertical="center"/>
    </xf>
    <xf numFmtId="178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78" fontId="6" fillId="0" borderId="5" xfId="0" applyNumberFormat="1" applyFont="1" applyBorder="1" applyAlignment="1">
      <alignment horizontal="center" vertical="center"/>
    </xf>
    <xf numFmtId="0" fontId="6" fillId="0" borderId="4" xfId="0" applyFont="1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6" xfId="0" applyBorder="1">
      <alignment vertical="center"/>
    </xf>
    <xf numFmtId="178" fontId="6" fillId="0" borderId="7" xfId="0" applyNumberFormat="1" applyFont="1" applyBorder="1" applyAlignment="1">
      <alignment horizontal="center" vertical="center"/>
    </xf>
    <xf numFmtId="178" fontId="6" fillId="0" borderId="8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6" fillId="0" borderId="0" xfId="0" applyFont="1" applyBorder="1">
      <alignment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78" fontId="4" fillId="0" borderId="1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178" fontId="4" fillId="0" borderId="14" xfId="0" applyNumberFormat="1" applyFont="1" applyBorder="1" applyAlignment="1">
      <alignment horizontal="center" vertical="center" wrapText="1"/>
    </xf>
    <xf numFmtId="0" fontId="16" fillId="0" borderId="0" xfId="0" applyFont="1">
      <alignment vertical="center"/>
    </xf>
    <xf numFmtId="177" fontId="18" fillId="0" borderId="0" xfId="0" applyNumberFormat="1" applyFont="1" applyFill="1" applyBorder="1" applyAlignment="1">
      <alignment horizontal="center" vertical="center" wrapText="1"/>
    </xf>
    <xf numFmtId="177" fontId="6" fillId="0" borderId="0" xfId="0" applyNumberFormat="1" applyFont="1" applyFill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10" fontId="6" fillId="0" borderId="0" xfId="0" applyNumberFormat="1" applyFont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 wrapText="1"/>
    </xf>
    <xf numFmtId="10" fontId="11" fillId="0" borderId="0" xfId="0" applyNumberFormat="1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6" fillId="0" borderId="0" xfId="0" applyFont="1" applyBorder="1" applyAlignment="1">
      <alignment horizontal="center" vertical="center" wrapText="1"/>
    </xf>
    <xf numFmtId="178" fontId="4" fillId="0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10" fontId="4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77" fontId="4" fillId="0" borderId="0" xfId="0" applyNumberFormat="1" applyFont="1" applyFill="1" applyBorder="1" applyAlignment="1">
      <alignment horizontal="center" vertical="center" wrapText="1"/>
    </xf>
    <xf numFmtId="178" fontId="20" fillId="0" borderId="0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178" fontId="4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Border="1" applyAlignment="1">
      <alignment vertical="center"/>
    </xf>
    <xf numFmtId="177" fontId="6" fillId="0" borderId="0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 wrapText="1"/>
    </xf>
    <xf numFmtId="0" fontId="23" fillId="0" borderId="15" xfId="0" applyFont="1" applyBorder="1" applyAlignment="1">
      <alignment horizontal="center" vertical="center" wrapText="1"/>
    </xf>
    <xf numFmtId="0" fontId="22" fillId="0" borderId="0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78" fontId="17" fillId="0" borderId="0" xfId="0" applyNumberFormat="1" applyFont="1" applyAlignment="1">
      <alignment horizontal="center" vertical="center"/>
    </xf>
    <xf numFmtId="49" fontId="18" fillId="0" borderId="0" xfId="0" applyNumberFormat="1" applyFont="1" applyAlignment="1">
      <alignment horizontal="center" vertical="center"/>
    </xf>
    <xf numFmtId="178" fontId="18" fillId="0" borderId="0" xfId="0" applyNumberFormat="1" applyFont="1" applyAlignment="1">
      <alignment horizontal="center" vertical="center"/>
    </xf>
    <xf numFmtId="180" fontId="18" fillId="0" borderId="0" xfId="0" applyNumberFormat="1" applyFont="1" applyAlignment="1">
      <alignment horizontal="center" vertical="center"/>
    </xf>
    <xf numFmtId="180" fontId="24" fillId="0" borderId="0" xfId="0" applyNumberFormat="1" applyFont="1" applyAlignment="1">
      <alignment horizontal="center" vertical="center"/>
    </xf>
    <xf numFmtId="180" fontId="24" fillId="0" borderId="0" xfId="0" applyNumberFormat="1" applyFont="1">
      <alignment vertical="center"/>
    </xf>
    <xf numFmtId="0" fontId="24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ont>
        <color rgb="FF9C0006"/>
      </font>
      <fill>
        <patternFill patternType="solid">
          <bgColor rgb="FFFFC7CE"/>
        </patternFill>
      </fill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 val="1"/>
        <color theme="1"/>
      </font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8_Accent1" defaultPivotStyle="PivotStylePreset2_Accent1">
    <tableStyle name="TableStylePreset8_Accent1" pivot="0" count="9" xr9:uid="{C16462FB-CDE6-4BB5-BAFA-1372A3CEEFCD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secondRowStripe" dxfId="3"/>
      <tableStyleElement type="firstColumnStripe" dxfId="2"/>
      <tableStyleElement type="secondColumnStripe" dxfId="1"/>
    </tableStyle>
    <tableStyle name="TableStylePreset8_Accent1 1" pivot="0" count="7" xr9:uid="{3726572B-BCF9-47B4-AB9F-54FE6875D08D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mruColors>
      <color rgb="00FFF3CA"/>
      <color rgb="00E3F2D9"/>
      <color rgb="00D2F4F2"/>
      <color rgb="00FADADE"/>
      <color rgb="000000FF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467995</xdr:colOff>
          <xdr:row>155</xdr:row>
          <xdr:rowOff>19050</xdr:rowOff>
        </xdr:from>
        <xdr:to>
          <xdr:col>0</xdr:col>
          <xdr:colOff>582295</xdr:colOff>
          <xdr:row>155</xdr:row>
          <xdr:rowOff>170815</xdr:rowOff>
        </xdr:to>
        <xdr:sp>
          <xdr:nvSpPr>
            <xdr:cNvPr id="1116" name="Object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467995" y="31194375"/>
              <a:ext cx="114300" cy="151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534670</xdr:colOff>
          <xdr:row>115</xdr:row>
          <xdr:rowOff>9525</xdr:rowOff>
        </xdr:from>
        <xdr:to>
          <xdr:col>0</xdr:col>
          <xdr:colOff>647700</xdr:colOff>
          <xdr:row>115</xdr:row>
          <xdr:rowOff>161925</xdr:rowOff>
        </xdr:to>
        <xdr:sp>
          <xdr:nvSpPr>
            <xdr:cNvPr id="1117" name="Object 93" hidden="1">
              <a:extLst>
                <a:ext uri="{63B3BB69-23CF-44E3-9099-C40C66FF867C}">
                  <a14:compatExt spid="_x0000_s1117"/>
                </a:ext>
              </a:extLst>
            </xdr:cNvPr>
            <xdr:cNvSpPr/>
          </xdr:nvSpPr>
          <xdr:spPr>
            <a:xfrm>
              <a:off x="534670" y="23183850"/>
              <a:ext cx="113030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325120</xdr:colOff>
          <xdr:row>75</xdr:row>
          <xdr:rowOff>29210</xdr:rowOff>
        </xdr:from>
        <xdr:to>
          <xdr:col>0</xdr:col>
          <xdr:colOff>438150</xdr:colOff>
          <xdr:row>75</xdr:row>
          <xdr:rowOff>180975</xdr:rowOff>
        </xdr:to>
        <xdr:sp>
          <xdr:nvSpPr>
            <xdr:cNvPr id="1118" name="Object 94" hidden="1">
              <a:extLst>
                <a:ext uri="{63B3BB69-23CF-44E3-9099-C40C66FF867C}">
                  <a14:compatExt spid="_x0000_s1118"/>
                </a:ext>
              </a:extLst>
            </xdr:cNvPr>
            <xdr:cNvSpPr/>
          </xdr:nvSpPr>
          <xdr:spPr>
            <a:xfrm>
              <a:off x="325120" y="15202535"/>
              <a:ext cx="113030" cy="15176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315595</xdr:colOff>
          <xdr:row>35</xdr:row>
          <xdr:rowOff>19050</xdr:rowOff>
        </xdr:from>
        <xdr:to>
          <xdr:col>0</xdr:col>
          <xdr:colOff>428625</xdr:colOff>
          <xdr:row>35</xdr:row>
          <xdr:rowOff>171450</xdr:rowOff>
        </xdr:to>
        <xdr:sp>
          <xdr:nvSpPr>
            <xdr:cNvPr id="1119" name="Object 95" hidden="1">
              <a:extLst>
                <a:ext uri="{63B3BB69-23CF-44E3-9099-C40C66FF867C}">
                  <a14:compatExt spid="_x0000_s1119"/>
                </a:ext>
              </a:extLst>
            </xdr:cNvPr>
            <xdr:cNvSpPr/>
          </xdr:nvSpPr>
          <xdr:spPr>
            <a:xfrm>
              <a:off x="315595" y="7219950"/>
              <a:ext cx="113030" cy="1524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391795</xdr:colOff>
          <xdr:row>194</xdr:row>
          <xdr:rowOff>38735</xdr:rowOff>
        </xdr:from>
        <xdr:to>
          <xdr:col>0</xdr:col>
          <xdr:colOff>504825</xdr:colOff>
          <xdr:row>194</xdr:row>
          <xdr:rowOff>190500</xdr:rowOff>
        </xdr:to>
        <xdr:sp>
          <xdr:nvSpPr>
            <xdr:cNvPr id="1120" name="Object 96" hidden="1">
              <a:extLst>
                <a:ext uri="{63B3BB69-23CF-44E3-9099-C40C66FF867C}">
                  <a14:compatExt spid="_x0000_s1120"/>
                </a:ext>
              </a:extLst>
            </xdr:cNvPr>
            <xdr:cNvSpPr/>
          </xdr:nvSpPr>
          <xdr:spPr>
            <a:xfrm>
              <a:off x="391795" y="38986460"/>
              <a:ext cx="113030" cy="15176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676275</xdr:colOff>
      <xdr:row>0</xdr:row>
      <xdr:rowOff>123190</xdr:rowOff>
    </xdr:from>
    <xdr:to>
      <xdr:col>32</xdr:col>
      <xdr:colOff>511175</xdr:colOff>
      <xdr:row>19</xdr:row>
      <xdr:rowOff>193675</xdr:rowOff>
    </xdr:to>
    <xdr:pic>
      <xdr:nvPicPr>
        <xdr:cNvPr id="17411" name="图片 207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896975" y="123190"/>
          <a:ext cx="8064500" cy="38900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10</xdr:col>
      <xdr:colOff>246380</xdr:colOff>
      <xdr:row>1</xdr:row>
      <xdr:rowOff>24130</xdr:rowOff>
    </xdr:from>
    <xdr:to>
      <xdr:col>10</xdr:col>
      <xdr:colOff>379730</xdr:colOff>
      <xdr:row>1</xdr:row>
      <xdr:rowOff>194310</xdr:rowOff>
    </xdr:to>
    <xdr:pic>
      <xdr:nvPicPr>
        <xdr:cNvPr id="15382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74990" y="303530"/>
          <a:ext cx="133350" cy="170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326390</xdr:colOff>
      <xdr:row>2</xdr:row>
      <xdr:rowOff>56515</xdr:rowOff>
    </xdr:from>
    <xdr:to>
      <xdr:col>3</xdr:col>
      <xdr:colOff>460375</xdr:colOff>
      <xdr:row>2</xdr:row>
      <xdr:rowOff>227965</xdr:rowOff>
    </xdr:to>
    <xdr:pic>
      <xdr:nvPicPr>
        <xdr:cNvPr id="15383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16225" y="589915"/>
          <a:ext cx="133985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294640</xdr:colOff>
      <xdr:row>4</xdr:row>
      <xdr:rowOff>37465</xdr:rowOff>
    </xdr:from>
    <xdr:to>
      <xdr:col>3</xdr:col>
      <xdr:colOff>427990</xdr:colOff>
      <xdr:row>4</xdr:row>
      <xdr:rowOff>209550</xdr:rowOff>
    </xdr:to>
    <xdr:pic>
      <xdr:nvPicPr>
        <xdr:cNvPr id="15384" name="图片 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4475" y="1078865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320040</xdr:colOff>
      <xdr:row>6</xdr:row>
      <xdr:rowOff>27940</xdr:rowOff>
    </xdr:from>
    <xdr:to>
      <xdr:col>3</xdr:col>
      <xdr:colOff>453390</xdr:colOff>
      <xdr:row>6</xdr:row>
      <xdr:rowOff>199390</xdr:rowOff>
    </xdr:to>
    <xdr:pic>
      <xdr:nvPicPr>
        <xdr:cNvPr id="15385" name="图片 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9875" y="1577340"/>
          <a:ext cx="13335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295275</xdr:colOff>
      <xdr:row>9</xdr:row>
      <xdr:rowOff>33020</xdr:rowOff>
    </xdr:from>
    <xdr:to>
      <xdr:col>3</xdr:col>
      <xdr:colOff>428625</xdr:colOff>
      <xdr:row>9</xdr:row>
      <xdr:rowOff>204470</xdr:rowOff>
    </xdr:to>
    <xdr:pic>
      <xdr:nvPicPr>
        <xdr:cNvPr id="15386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5110" y="2344420"/>
          <a:ext cx="133350" cy="171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310515</xdr:colOff>
      <xdr:row>11</xdr:row>
      <xdr:rowOff>42545</xdr:rowOff>
    </xdr:from>
    <xdr:to>
      <xdr:col>3</xdr:col>
      <xdr:colOff>443230</xdr:colOff>
      <xdr:row>11</xdr:row>
      <xdr:rowOff>214630</xdr:rowOff>
    </xdr:to>
    <xdr:pic>
      <xdr:nvPicPr>
        <xdr:cNvPr id="15387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0350" y="2861945"/>
          <a:ext cx="132715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290195</xdr:colOff>
      <xdr:row>13</xdr:row>
      <xdr:rowOff>53340</xdr:rowOff>
    </xdr:from>
    <xdr:to>
      <xdr:col>3</xdr:col>
      <xdr:colOff>423545</xdr:colOff>
      <xdr:row>13</xdr:row>
      <xdr:rowOff>225425</xdr:rowOff>
    </xdr:to>
    <xdr:pic>
      <xdr:nvPicPr>
        <xdr:cNvPr id="15388" name="图片 8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80030" y="3380740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315595</xdr:colOff>
      <xdr:row>16</xdr:row>
      <xdr:rowOff>37465</xdr:rowOff>
    </xdr:from>
    <xdr:to>
      <xdr:col>3</xdr:col>
      <xdr:colOff>448945</xdr:colOff>
      <xdr:row>16</xdr:row>
      <xdr:rowOff>209550</xdr:rowOff>
    </xdr:to>
    <xdr:pic>
      <xdr:nvPicPr>
        <xdr:cNvPr id="15389" name="图片 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05430" y="4126865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309880</xdr:colOff>
      <xdr:row>17</xdr:row>
      <xdr:rowOff>252730</xdr:rowOff>
    </xdr:from>
    <xdr:to>
      <xdr:col>3</xdr:col>
      <xdr:colOff>443230</xdr:colOff>
      <xdr:row>18</xdr:row>
      <xdr:rowOff>170815</xdr:rowOff>
    </xdr:to>
    <xdr:pic>
      <xdr:nvPicPr>
        <xdr:cNvPr id="15390" name="图片 10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99715" y="4596130"/>
          <a:ext cx="133350" cy="1720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304800</xdr:colOff>
      <xdr:row>20</xdr:row>
      <xdr:rowOff>43815</xdr:rowOff>
    </xdr:from>
    <xdr:to>
      <xdr:col>3</xdr:col>
      <xdr:colOff>438785</xdr:colOff>
      <xdr:row>20</xdr:row>
      <xdr:rowOff>214630</xdr:rowOff>
    </xdr:to>
    <xdr:pic>
      <xdr:nvPicPr>
        <xdr:cNvPr id="15391" name="图片 1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794635" y="5149215"/>
          <a:ext cx="133985" cy="1708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5.bin"/><Relationship Id="rId7" Type="http://schemas.openxmlformats.org/officeDocument/2006/relationships/oleObject" Target="../embeddings/oleObject4.bin"/><Relationship Id="rId6" Type="http://schemas.openxmlformats.org/officeDocument/2006/relationships/oleObject" Target="../embeddings/oleObject3.bin"/><Relationship Id="rId5" Type="http://schemas.openxmlformats.org/officeDocument/2006/relationships/oleObject" Target="../embeddings/oleObject2.bin"/><Relationship Id="rId4" Type="http://schemas.openxmlformats.org/officeDocument/2006/relationships/image" Target="../media/image1.w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9"/>
  <sheetViews>
    <sheetView workbookViewId="0">
      <selection activeCell="B33" sqref="B33"/>
    </sheetView>
  </sheetViews>
  <sheetFormatPr defaultColWidth="9" defaultRowHeight="15.75"/>
  <cols>
    <col min="1" max="1" width="9" style="5"/>
    <col min="2" max="2" width="9" style="44"/>
    <col min="3" max="3" width="9" style="5"/>
    <col min="4" max="4" width="9" style="44"/>
    <col min="6" max="6" width="9" style="44"/>
    <col min="10" max="10" width="9" style="44"/>
    <col min="18" max="18" width="9" style="44"/>
  </cols>
  <sheetData>
    <row r="1" spans="1:22">
      <c r="B1" s="151" t="s">
        <v>0</v>
      </c>
      <c r="C1" s="151"/>
      <c r="D1" s="151"/>
      <c r="E1" s="151"/>
      <c r="F1" s="151"/>
      <c r="I1" s="5"/>
      <c r="J1" s="151" t="s">
        <v>1</v>
      </c>
      <c r="K1" s="151"/>
      <c r="L1" s="151"/>
      <c r="M1" s="151"/>
      <c r="N1" s="151"/>
      <c r="R1" s="151" t="s">
        <v>2</v>
      </c>
      <c r="S1" s="151"/>
      <c r="T1" s="151"/>
      <c r="U1" s="151"/>
      <c r="V1" s="151"/>
    </row>
    <row r="2" spans="1:22">
      <c r="A2" s="115"/>
      <c r="B2" s="152" t="s">
        <v>3</v>
      </c>
      <c r="D2" s="152" t="s">
        <v>4</v>
      </c>
      <c r="F2" s="152" t="s">
        <v>5</v>
      </c>
      <c r="I2" s="5"/>
      <c r="J2" s="153" t="s">
        <v>3</v>
      </c>
      <c r="K2" s="5"/>
      <c r="L2" s="152" t="s">
        <v>4</v>
      </c>
      <c r="N2" s="152" t="s">
        <v>5</v>
      </c>
      <c r="R2" s="153" t="s">
        <v>3</v>
      </c>
      <c r="S2" s="5"/>
      <c r="T2" s="152" t="s">
        <v>4</v>
      </c>
      <c r="V2" s="152" t="s">
        <v>5</v>
      </c>
    </row>
    <row r="3" spans="1:22">
      <c r="A3" s="22"/>
      <c r="B3" s="44">
        <v>440.55</v>
      </c>
      <c r="D3" s="44">
        <v>450.55</v>
      </c>
      <c r="F3" s="44">
        <v>450.55</v>
      </c>
      <c r="I3" s="5"/>
      <c r="J3" s="44">
        <v>430.55</v>
      </c>
      <c r="K3" s="5"/>
      <c r="L3" s="44">
        <v>430.55</v>
      </c>
      <c r="N3" s="44">
        <v>430.55</v>
      </c>
      <c r="R3" s="44">
        <v>430.55</v>
      </c>
      <c r="T3" s="44">
        <v>430.55</v>
      </c>
      <c r="V3" s="44">
        <v>427.55</v>
      </c>
    </row>
    <row r="4" spans="1:22">
      <c r="A4" s="22"/>
      <c r="B4" s="44">
        <v>463.08</v>
      </c>
      <c r="D4" s="44">
        <v>468.47</v>
      </c>
      <c r="F4" s="44">
        <v>450.55</v>
      </c>
      <c r="I4" s="5"/>
      <c r="J4" s="44">
        <v>469.73</v>
      </c>
      <c r="K4" s="5"/>
      <c r="L4" s="44">
        <v>460.58</v>
      </c>
      <c r="N4" s="44">
        <v>443.3</v>
      </c>
      <c r="R4" s="44">
        <v>464.2</v>
      </c>
      <c r="T4" s="44">
        <v>454.61</v>
      </c>
      <c r="V4" s="44">
        <v>432.1</v>
      </c>
    </row>
    <row r="5" spans="1:22">
      <c r="A5" s="22"/>
      <c r="B5" s="44">
        <v>465.4</v>
      </c>
      <c r="D5" s="44">
        <v>450.55</v>
      </c>
      <c r="F5" s="44">
        <v>473.5</v>
      </c>
      <c r="I5" s="5"/>
      <c r="J5" s="44">
        <v>441.99</v>
      </c>
      <c r="K5" s="5"/>
      <c r="L5" s="44">
        <v>449.86</v>
      </c>
      <c r="N5" s="44">
        <v>433.4</v>
      </c>
      <c r="R5" s="44">
        <v>444.69</v>
      </c>
      <c r="T5" s="44">
        <v>478.7</v>
      </c>
      <c r="V5" s="44">
        <v>434.27</v>
      </c>
    </row>
    <row r="6" spans="1:22">
      <c r="A6" s="22"/>
      <c r="B6" s="44">
        <v>445.34</v>
      </c>
      <c r="D6" s="44">
        <v>452.88</v>
      </c>
      <c r="F6" s="44">
        <v>465.32</v>
      </c>
      <c r="I6" s="5"/>
      <c r="J6" s="44">
        <v>458.6</v>
      </c>
      <c r="K6" s="5"/>
      <c r="L6" s="44">
        <v>476.21</v>
      </c>
      <c r="N6" s="44">
        <v>474.26</v>
      </c>
      <c r="R6" s="44">
        <v>467.49</v>
      </c>
      <c r="T6" s="44">
        <v>459.18</v>
      </c>
      <c r="V6" s="44">
        <v>435.73</v>
      </c>
    </row>
    <row r="7" spans="1:22">
      <c r="A7" s="22"/>
      <c r="B7" s="44">
        <v>465.6</v>
      </c>
      <c r="D7" s="44">
        <v>458.3</v>
      </c>
      <c r="F7" s="44">
        <v>464.4</v>
      </c>
      <c r="I7" s="5"/>
      <c r="J7" s="44">
        <v>430.55</v>
      </c>
      <c r="K7" s="5"/>
      <c r="L7" s="44">
        <v>430.66</v>
      </c>
      <c r="N7" s="44">
        <v>459.61</v>
      </c>
      <c r="R7" s="44">
        <v>442.8</v>
      </c>
      <c r="T7" s="44">
        <v>475.4</v>
      </c>
      <c r="V7" s="44">
        <v>462.91</v>
      </c>
    </row>
    <row r="8" spans="1:22">
      <c r="A8" s="22"/>
      <c r="B8" s="44">
        <v>458.37</v>
      </c>
      <c r="D8" s="44">
        <v>479.73</v>
      </c>
      <c r="F8" s="44">
        <v>483.85</v>
      </c>
      <c r="I8" s="5"/>
      <c r="J8" s="44">
        <v>450.2</v>
      </c>
      <c r="K8" s="5"/>
      <c r="L8" s="44">
        <v>453.62</v>
      </c>
      <c r="N8" s="44">
        <v>451.34</v>
      </c>
      <c r="R8" s="44">
        <v>461.6</v>
      </c>
      <c r="T8" s="44">
        <v>469</v>
      </c>
      <c r="V8" s="44">
        <v>460.1</v>
      </c>
    </row>
    <row r="9" spans="1:22">
      <c r="A9" s="22"/>
      <c r="B9" s="44">
        <v>444.6</v>
      </c>
      <c r="D9" s="44">
        <v>450.55</v>
      </c>
      <c r="F9" s="44">
        <v>470.35</v>
      </c>
      <c r="I9" s="5"/>
      <c r="J9" s="44">
        <v>444.58</v>
      </c>
      <c r="K9" s="5"/>
      <c r="L9" s="44">
        <v>451.73</v>
      </c>
      <c r="N9" s="44">
        <v>459.3</v>
      </c>
      <c r="R9" s="44">
        <v>443</v>
      </c>
      <c r="T9" s="44">
        <v>459.86</v>
      </c>
      <c r="V9" s="44">
        <v>428.9</v>
      </c>
    </row>
    <row r="10" spans="1:22">
      <c r="A10" s="22"/>
      <c r="B10" s="44">
        <v>449.2</v>
      </c>
      <c r="D10" s="44">
        <v>442.55</v>
      </c>
      <c r="F10" s="44">
        <v>460.7</v>
      </c>
      <c r="I10" s="5"/>
      <c r="J10" s="44">
        <v>437.05</v>
      </c>
      <c r="K10" s="5"/>
      <c r="L10" s="44">
        <v>453.55</v>
      </c>
      <c r="N10" s="44">
        <v>454.59</v>
      </c>
      <c r="R10" s="44">
        <v>463.54</v>
      </c>
      <c r="T10" s="44">
        <v>439.6</v>
      </c>
      <c r="V10" s="44">
        <v>481.46</v>
      </c>
    </row>
    <row r="11" spans="1:22">
      <c r="A11" s="22"/>
      <c r="B11" s="44">
        <v>456.17</v>
      </c>
      <c r="D11" s="44">
        <v>450.55</v>
      </c>
      <c r="F11" s="44">
        <v>481.77</v>
      </c>
      <c r="I11" s="5"/>
      <c r="J11" s="44">
        <v>437.91</v>
      </c>
      <c r="K11" s="5"/>
      <c r="L11" s="44">
        <v>468.94</v>
      </c>
      <c r="N11" s="44">
        <v>459.69</v>
      </c>
      <c r="R11" s="44">
        <v>460.88</v>
      </c>
      <c r="T11" s="44">
        <v>464.7</v>
      </c>
      <c r="V11" s="44">
        <v>469.35</v>
      </c>
    </row>
    <row r="12" spans="1:22">
      <c r="A12" s="22"/>
      <c r="B12" s="44">
        <v>466.34</v>
      </c>
      <c r="D12" s="44">
        <v>471.85</v>
      </c>
      <c r="F12" s="44">
        <v>479.3</v>
      </c>
      <c r="I12" s="5"/>
      <c r="J12" s="44">
        <v>450.06</v>
      </c>
      <c r="K12" s="5"/>
      <c r="L12" s="44">
        <v>446.65</v>
      </c>
      <c r="N12" s="44">
        <v>454.54</v>
      </c>
      <c r="R12" s="44">
        <v>442.1</v>
      </c>
      <c r="T12" s="44">
        <v>430.6</v>
      </c>
      <c r="V12" s="44">
        <v>469.9</v>
      </c>
    </row>
    <row r="13" spans="1:22">
      <c r="A13" s="22"/>
      <c r="B13" s="44">
        <v>466.34</v>
      </c>
      <c r="D13" s="44">
        <v>475.63</v>
      </c>
      <c r="F13" s="44">
        <v>468.83</v>
      </c>
      <c r="I13" s="5"/>
      <c r="J13" s="44">
        <v>433.7</v>
      </c>
      <c r="K13" s="5"/>
      <c r="L13" s="44">
        <v>469.67</v>
      </c>
      <c r="N13" s="44">
        <v>463.4</v>
      </c>
      <c r="R13" s="44">
        <v>434.04</v>
      </c>
      <c r="T13" s="44">
        <v>462.25</v>
      </c>
      <c r="V13" s="44">
        <v>429.6</v>
      </c>
    </row>
    <row r="14" spans="1:22">
      <c r="A14" s="22"/>
      <c r="B14" s="44">
        <v>446.13</v>
      </c>
      <c r="D14" s="44">
        <v>471.79</v>
      </c>
      <c r="F14" s="44">
        <v>450.8</v>
      </c>
      <c r="I14" s="5"/>
      <c r="J14" s="44">
        <v>458.81</v>
      </c>
      <c r="K14" s="5"/>
      <c r="L14" s="44">
        <v>454.07</v>
      </c>
      <c r="N14" s="44">
        <v>453.48</v>
      </c>
      <c r="R14" s="44">
        <v>462.6</v>
      </c>
      <c r="T14" s="44">
        <v>464.34</v>
      </c>
      <c r="V14" s="44">
        <v>477.23</v>
      </c>
    </row>
    <row r="15" spans="1:22">
      <c r="A15" s="22"/>
      <c r="B15" s="44">
        <v>466.3</v>
      </c>
      <c r="D15" s="44">
        <v>462.78</v>
      </c>
      <c r="F15" s="44">
        <v>453.4</v>
      </c>
      <c r="I15" s="5"/>
      <c r="J15" s="44">
        <v>452.46</v>
      </c>
      <c r="K15" s="5"/>
      <c r="L15" s="44">
        <v>432.4</v>
      </c>
      <c r="N15" s="44">
        <v>476.94</v>
      </c>
      <c r="R15" s="44">
        <v>470.5</v>
      </c>
      <c r="T15" s="44">
        <v>468.46</v>
      </c>
      <c r="V15" s="44">
        <v>481.65</v>
      </c>
    </row>
    <row r="16" spans="1:22">
      <c r="A16" s="22"/>
      <c r="B16" s="44">
        <v>466.34</v>
      </c>
      <c r="D16" s="44">
        <v>467.18</v>
      </c>
      <c r="F16" s="44">
        <v>483</v>
      </c>
      <c r="I16" s="5"/>
      <c r="J16" s="44">
        <v>463.66</v>
      </c>
      <c r="K16" s="5"/>
      <c r="L16" s="44">
        <v>439.36</v>
      </c>
      <c r="N16" s="44">
        <v>438.4</v>
      </c>
      <c r="R16" s="44">
        <v>439.59</v>
      </c>
      <c r="T16" s="44">
        <v>478.08</v>
      </c>
      <c r="V16" s="44">
        <v>484.64</v>
      </c>
    </row>
    <row r="17" spans="1:22">
      <c r="A17" s="22"/>
      <c r="B17" s="44">
        <v>454.58</v>
      </c>
      <c r="D17" s="44">
        <v>455.7</v>
      </c>
      <c r="F17" s="44">
        <v>450.55</v>
      </c>
      <c r="I17" s="5"/>
      <c r="J17" s="44">
        <v>463.86</v>
      </c>
      <c r="K17" s="5"/>
      <c r="L17" s="44">
        <v>466.53</v>
      </c>
      <c r="N17" s="44">
        <v>432.73</v>
      </c>
      <c r="R17" s="44">
        <v>456.71</v>
      </c>
      <c r="T17" s="44">
        <v>483.56</v>
      </c>
      <c r="V17" s="44">
        <v>477.14</v>
      </c>
    </row>
    <row r="18" spans="1:22">
      <c r="A18" s="22"/>
      <c r="B18" s="44">
        <v>462.7</v>
      </c>
      <c r="D18" s="44">
        <v>476.23</v>
      </c>
      <c r="F18" s="44">
        <v>464.85</v>
      </c>
      <c r="I18" s="5"/>
      <c r="J18" s="44">
        <v>460.8</v>
      </c>
      <c r="K18" s="5"/>
      <c r="L18" s="44">
        <v>454.17</v>
      </c>
      <c r="N18" s="44">
        <v>432.93</v>
      </c>
      <c r="R18" s="44">
        <v>445.12</v>
      </c>
      <c r="T18" s="44">
        <v>462.81</v>
      </c>
      <c r="V18" s="44">
        <v>472.75</v>
      </c>
    </row>
    <row r="19" spans="1:22">
      <c r="A19" s="22"/>
      <c r="B19" s="44">
        <v>445.72</v>
      </c>
      <c r="D19" s="44">
        <v>450.78</v>
      </c>
      <c r="F19" s="44">
        <v>450.55</v>
      </c>
      <c r="I19" s="5"/>
      <c r="J19" s="44">
        <v>430.68</v>
      </c>
      <c r="K19" s="5"/>
      <c r="L19" s="44">
        <v>438.2</v>
      </c>
      <c r="N19" s="44">
        <v>430.63</v>
      </c>
      <c r="R19" s="44">
        <v>464.78</v>
      </c>
      <c r="T19" s="44">
        <v>459.59</v>
      </c>
      <c r="V19" s="44">
        <v>456.48</v>
      </c>
    </row>
    <row r="20" spans="1:22">
      <c r="A20" s="22"/>
      <c r="B20" s="44">
        <v>454.9</v>
      </c>
      <c r="D20" s="44">
        <v>473.57</v>
      </c>
      <c r="F20" s="44">
        <v>481.2</v>
      </c>
      <c r="I20" s="5"/>
      <c r="J20" s="44">
        <v>432.44</v>
      </c>
      <c r="K20" s="5"/>
      <c r="L20" s="44">
        <v>447.58</v>
      </c>
      <c r="N20" s="44">
        <v>447.61</v>
      </c>
      <c r="R20" s="44">
        <v>461.56</v>
      </c>
      <c r="T20" s="44">
        <v>480.3</v>
      </c>
      <c r="V20" s="44">
        <v>436.4</v>
      </c>
    </row>
    <row r="21" spans="1:22">
      <c r="A21" s="22"/>
      <c r="B21" s="44">
        <v>465.68</v>
      </c>
      <c r="D21" s="44">
        <v>450.55</v>
      </c>
      <c r="F21" s="44">
        <v>475.05</v>
      </c>
      <c r="I21" s="5"/>
      <c r="J21" s="44">
        <v>444.92</v>
      </c>
      <c r="K21" s="5"/>
      <c r="L21" s="44">
        <v>460.84</v>
      </c>
      <c r="N21" s="44">
        <v>449.79</v>
      </c>
      <c r="R21" s="44">
        <v>431.61</v>
      </c>
      <c r="T21" s="44">
        <v>459.51</v>
      </c>
      <c r="V21" s="44">
        <v>449.61</v>
      </c>
    </row>
    <row r="22" spans="1:22">
      <c r="A22" s="22"/>
      <c r="B22" s="44">
        <v>461.2</v>
      </c>
      <c r="D22" s="44">
        <v>459</v>
      </c>
      <c r="F22" s="44">
        <v>465.34</v>
      </c>
      <c r="I22" s="5"/>
      <c r="J22" s="44">
        <v>455.44</v>
      </c>
      <c r="K22" s="5"/>
      <c r="L22" s="44">
        <v>440.15</v>
      </c>
      <c r="N22" s="44">
        <v>445.68</v>
      </c>
      <c r="R22" s="44">
        <v>466.2</v>
      </c>
      <c r="T22" s="44">
        <v>430.55</v>
      </c>
      <c r="V22" s="44">
        <v>433.79</v>
      </c>
    </row>
    <row r="23" spans="1:22">
      <c r="A23" s="22"/>
      <c r="B23" s="44">
        <v>466.34</v>
      </c>
      <c r="D23" s="44">
        <v>470.8</v>
      </c>
      <c r="F23" s="44">
        <v>453.99</v>
      </c>
      <c r="I23" s="5"/>
      <c r="J23" s="44">
        <v>461.6</v>
      </c>
      <c r="K23" s="5"/>
      <c r="L23" s="44">
        <v>467.36</v>
      </c>
      <c r="N23" s="44">
        <v>465.48</v>
      </c>
      <c r="R23" s="44">
        <v>472.57</v>
      </c>
      <c r="T23" s="44">
        <v>432.05</v>
      </c>
      <c r="V23" s="44">
        <v>427.6</v>
      </c>
    </row>
    <row r="24" spans="1:22">
      <c r="A24" s="22"/>
      <c r="B24" s="44">
        <v>458.98</v>
      </c>
      <c r="D24" s="44">
        <v>461.05</v>
      </c>
      <c r="F24" s="44">
        <v>450.55</v>
      </c>
      <c r="I24" s="5"/>
      <c r="J24" s="44">
        <v>449.3</v>
      </c>
      <c r="K24" s="5"/>
      <c r="L24" s="44">
        <v>442.69</v>
      </c>
      <c r="N24" s="44">
        <v>458.73</v>
      </c>
      <c r="R24" s="44">
        <v>448.9</v>
      </c>
      <c r="T24" s="44">
        <v>476.41</v>
      </c>
      <c r="V24" s="44">
        <v>481.9</v>
      </c>
    </row>
    <row r="25" spans="1:22">
      <c r="A25" s="22"/>
      <c r="B25" s="44">
        <v>442.99</v>
      </c>
      <c r="D25" s="44">
        <v>450.1</v>
      </c>
      <c r="F25" s="44">
        <v>473.65</v>
      </c>
      <c r="I25" s="5"/>
      <c r="J25" s="44">
        <v>469.84</v>
      </c>
      <c r="K25" s="5"/>
      <c r="L25" s="44">
        <v>476.28</v>
      </c>
      <c r="N25" s="44">
        <v>465.9</v>
      </c>
      <c r="R25" s="44">
        <v>467.31</v>
      </c>
      <c r="T25" s="44">
        <v>453.78</v>
      </c>
      <c r="V25" s="44">
        <v>443.8</v>
      </c>
    </row>
    <row r="26" spans="1:22">
      <c r="A26" s="22"/>
      <c r="B26" s="44">
        <v>463.96</v>
      </c>
      <c r="D26" s="44">
        <v>484.68</v>
      </c>
      <c r="F26" s="44">
        <v>450.55</v>
      </c>
      <c r="I26" s="5"/>
      <c r="J26" s="44">
        <v>464.78</v>
      </c>
      <c r="K26" s="5"/>
      <c r="L26" s="44">
        <v>443.99</v>
      </c>
      <c r="N26" s="44">
        <v>473.91</v>
      </c>
      <c r="R26" s="44">
        <v>452.56</v>
      </c>
      <c r="T26" s="44">
        <v>475.34</v>
      </c>
      <c r="V26" s="44">
        <v>443.5</v>
      </c>
    </row>
    <row r="27" spans="1:22">
      <c r="A27" s="22"/>
      <c r="B27" s="44">
        <v>466.15</v>
      </c>
      <c r="D27" s="44">
        <v>477.65</v>
      </c>
      <c r="F27" s="44">
        <v>450.55</v>
      </c>
      <c r="I27" s="5"/>
      <c r="J27" s="44">
        <v>477.24</v>
      </c>
      <c r="K27" s="5"/>
      <c r="L27" s="44">
        <v>468.71</v>
      </c>
      <c r="N27" s="44">
        <v>475.9</v>
      </c>
      <c r="R27" s="44">
        <v>430.99</v>
      </c>
      <c r="T27" s="44">
        <v>437.35</v>
      </c>
      <c r="V27" s="44">
        <v>445.69</v>
      </c>
    </row>
    <row r="28" spans="1:22">
      <c r="A28" s="22"/>
      <c r="B28" s="44">
        <v>459.57</v>
      </c>
      <c r="D28" s="44">
        <v>464.42</v>
      </c>
      <c r="F28" s="44">
        <v>461.3</v>
      </c>
      <c r="I28" s="5"/>
      <c r="J28" s="44">
        <v>455.46</v>
      </c>
      <c r="K28" s="5"/>
      <c r="L28" s="44">
        <v>439.99</v>
      </c>
      <c r="N28" s="44">
        <v>437.03</v>
      </c>
      <c r="R28" s="44">
        <v>433.23</v>
      </c>
      <c r="T28" s="44">
        <v>457.85</v>
      </c>
      <c r="V28" s="44">
        <v>453.71</v>
      </c>
    </row>
    <row r="29" spans="1:22">
      <c r="A29" s="22"/>
      <c r="B29" s="44">
        <v>463.6</v>
      </c>
      <c r="D29" s="44">
        <v>462.09</v>
      </c>
      <c r="F29" s="44">
        <v>450.55</v>
      </c>
      <c r="I29" s="5"/>
      <c r="J29" s="44">
        <v>445.2</v>
      </c>
      <c r="K29" s="5"/>
      <c r="L29" s="44">
        <v>444.91</v>
      </c>
      <c r="N29" s="44">
        <v>434.38</v>
      </c>
      <c r="R29" s="44">
        <v>443.55</v>
      </c>
      <c r="T29" s="44">
        <v>462.49</v>
      </c>
      <c r="V29" s="44">
        <v>464.5</v>
      </c>
    </row>
    <row r="30" spans="1:22">
      <c r="A30" s="22"/>
      <c r="B30" s="44">
        <v>461.2</v>
      </c>
      <c r="D30" s="44">
        <v>462.59</v>
      </c>
      <c r="F30" s="44">
        <v>479.9</v>
      </c>
      <c r="I30" s="5"/>
      <c r="J30" s="44">
        <v>434.27</v>
      </c>
      <c r="K30" s="5"/>
      <c r="L30" s="44">
        <v>435.13</v>
      </c>
      <c r="N30" s="44">
        <v>462.13</v>
      </c>
      <c r="R30" s="44">
        <v>460.56</v>
      </c>
      <c r="T30" s="44">
        <v>430.55</v>
      </c>
      <c r="V30" s="44">
        <v>427.55</v>
      </c>
    </row>
    <row r="31" spans="1:22">
      <c r="A31" s="22"/>
      <c r="B31" s="44">
        <v>452.18</v>
      </c>
      <c r="D31" s="44">
        <v>456.2</v>
      </c>
      <c r="F31" s="44">
        <v>479.9</v>
      </c>
      <c r="I31" s="5"/>
      <c r="J31" s="44">
        <v>459.4</v>
      </c>
      <c r="K31" s="5"/>
      <c r="L31" s="44">
        <v>459.29</v>
      </c>
      <c r="N31" s="44">
        <v>432.1</v>
      </c>
      <c r="R31" s="44">
        <v>464.39</v>
      </c>
      <c r="T31" s="44">
        <v>461.6</v>
      </c>
      <c r="V31" s="44">
        <v>476.14</v>
      </c>
    </row>
    <row r="32" spans="1:22">
      <c r="A32" s="22"/>
      <c r="B32" s="44">
        <v>466.34</v>
      </c>
      <c r="D32" s="44">
        <v>496.34</v>
      </c>
      <c r="F32" s="44">
        <v>496.34</v>
      </c>
      <c r="I32" s="5"/>
      <c r="J32" s="44">
        <v>480.34</v>
      </c>
      <c r="K32" s="5"/>
      <c r="L32" s="44">
        <v>480.34</v>
      </c>
      <c r="N32" s="44">
        <v>480.34</v>
      </c>
      <c r="R32" s="44">
        <v>480.34</v>
      </c>
      <c r="T32" s="44">
        <v>490.34</v>
      </c>
      <c r="V32" s="44">
        <v>487.34</v>
      </c>
    </row>
    <row r="33" spans="1:22">
      <c r="A33" s="153" t="s">
        <v>6</v>
      </c>
      <c r="B33" s="154">
        <f t="shared" ref="B33:F33" si="0">AVERAGE(B3:B32)</f>
        <v>458.195</v>
      </c>
      <c r="C33" s="155"/>
      <c r="D33" s="154">
        <f t="shared" si="0"/>
        <v>463.503666666667</v>
      </c>
      <c r="E33" s="156"/>
      <c r="F33" s="154">
        <f t="shared" si="0"/>
        <v>465.704666666667</v>
      </c>
      <c r="G33" s="156"/>
      <c r="H33" s="157"/>
      <c r="I33" s="153" t="s">
        <v>6</v>
      </c>
      <c r="J33" s="153">
        <f>AVERAGE(J3:J32)</f>
        <v>451.514</v>
      </c>
      <c r="K33" s="5"/>
      <c r="L33" s="154">
        <f>AVERAGE(L3:L32)</f>
        <v>452.800333333333</v>
      </c>
      <c r="N33" s="154">
        <f>AVERAGE(N3:N32)</f>
        <v>452.602333333333</v>
      </c>
      <c r="Q33" s="153" t="s">
        <v>6</v>
      </c>
      <c r="R33" s="154">
        <f>AVERAGE(R3:R32)</f>
        <v>453.598666666667</v>
      </c>
      <c r="T33" s="154">
        <f>AVERAGE(T3:T32)</f>
        <v>459.647</v>
      </c>
      <c r="V33" s="154">
        <f>AVERAGE(V3:V32)</f>
        <v>455.109666666667</v>
      </c>
    </row>
    <row r="34" spans="1:22">
      <c r="A34" s="153"/>
    </row>
    <row r="37" ht="19.5" spans="1:22">
      <c r="B37" s="151" t="s">
        <v>7</v>
      </c>
      <c r="C37" s="151"/>
      <c r="D37" s="151"/>
      <c r="E37" s="151"/>
      <c r="F37" s="151"/>
      <c r="J37" s="151" t="s">
        <v>8</v>
      </c>
      <c r="K37" s="151"/>
      <c r="L37" s="151"/>
      <c r="M37" s="151"/>
      <c r="N37" s="151"/>
      <c r="R37" s="151" t="s">
        <v>9</v>
      </c>
      <c r="S37" s="151"/>
      <c r="T37" s="151"/>
      <c r="U37" s="151"/>
      <c r="V37" s="151"/>
    </row>
    <row r="38" spans="1:22">
      <c r="B38" s="152" t="s">
        <v>3</v>
      </c>
      <c r="D38" s="152" t="s">
        <v>4</v>
      </c>
      <c r="F38" s="152" t="s">
        <v>5</v>
      </c>
      <c r="J38" s="153" t="s">
        <v>3</v>
      </c>
      <c r="K38" s="5"/>
      <c r="L38" s="152" t="s">
        <v>4</v>
      </c>
      <c r="N38" s="152" t="s">
        <v>5</v>
      </c>
      <c r="R38" s="153" t="s">
        <v>3</v>
      </c>
      <c r="S38" s="5"/>
      <c r="T38" s="152" t="s">
        <v>4</v>
      </c>
      <c r="V38" s="152" t="s">
        <v>5</v>
      </c>
    </row>
    <row r="39" spans="1:22">
      <c r="B39" s="44">
        <v>425.55</v>
      </c>
      <c r="D39" s="44">
        <v>424.45</v>
      </c>
      <c r="F39" s="44">
        <v>423.55</v>
      </c>
      <c r="J39" s="44">
        <v>422.32</v>
      </c>
      <c r="L39" s="44">
        <v>421.12</v>
      </c>
      <c r="N39" s="44">
        <v>423.42</v>
      </c>
      <c r="R39" s="44">
        <v>433.52</v>
      </c>
      <c r="T39" s="44">
        <v>435.56</v>
      </c>
      <c r="V39" s="44">
        <v>433.56</v>
      </c>
    </row>
    <row r="40" spans="1:22">
      <c r="B40" s="44">
        <v>467.28</v>
      </c>
      <c r="D40" s="44">
        <v>466.7</v>
      </c>
      <c r="F40" s="44">
        <v>426.6</v>
      </c>
      <c r="J40" s="44">
        <v>466.3</v>
      </c>
      <c r="L40" s="44">
        <v>489.48</v>
      </c>
      <c r="N40" s="44">
        <v>427.88</v>
      </c>
      <c r="R40" s="44">
        <v>434.53</v>
      </c>
      <c r="T40" s="44">
        <v>449.91</v>
      </c>
      <c r="V40" s="44">
        <v>436.02</v>
      </c>
    </row>
    <row r="41" spans="1:22">
      <c r="B41" s="44">
        <v>454.9</v>
      </c>
      <c r="D41" s="44">
        <v>441.47</v>
      </c>
      <c r="F41" s="44">
        <v>470.8</v>
      </c>
      <c r="J41" s="44">
        <v>448.65</v>
      </c>
      <c r="L41" s="44">
        <v>462.17</v>
      </c>
      <c r="N41" s="44">
        <v>457.34</v>
      </c>
      <c r="R41" s="44">
        <v>472.2</v>
      </c>
      <c r="T41" s="44">
        <v>455.39</v>
      </c>
      <c r="V41" s="44">
        <v>457.48</v>
      </c>
    </row>
    <row r="42" spans="1:22">
      <c r="B42" s="44">
        <v>481.43</v>
      </c>
      <c r="D42" s="44">
        <v>458.71</v>
      </c>
      <c r="F42" s="44">
        <v>438.4</v>
      </c>
      <c r="J42" s="44">
        <v>438.01</v>
      </c>
      <c r="L42" s="44">
        <v>475.6</v>
      </c>
      <c r="N42" s="44">
        <v>439.71</v>
      </c>
      <c r="R42" s="44">
        <v>496.11</v>
      </c>
      <c r="T42" s="44">
        <v>449.26</v>
      </c>
      <c r="V42" s="44">
        <v>486.1</v>
      </c>
    </row>
    <row r="43" spans="1:22">
      <c r="B43" s="44">
        <v>433.12</v>
      </c>
      <c r="D43" s="44">
        <v>467.2</v>
      </c>
      <c r="F43" s="44">
        <v>458.9</v>
      </c>
      <c r="J43" s="44">
        <v>470.98</v>
      </c>
      <c r="L43" s="44">
        <v>435.92</v>
      </c>
      <c r="N43" s="44">
        <v>480.01</v>
      </c>
      <c r="R43" s="44">
        <v>452.83</v>
      </c>
      <c r="T43" s="44">
        <v>478.07</v>
      </c>
      <c r="V43" s="44">
        <v>490.4</v>
      </c>
    </row>
    <row r="44" spans="1:22">
      <c r="B44" s="44">
        <v>471.47</v>
      </c>
      <c r="D44" s="44">
        <v>426.62</v>
      </c>
      <c r="F44" s="44">
        <v>482.67</v>
      </c>
      <c r="J44" s="44">
        <v>494.56</v>
      </c>
      <c r="L44" s="44">
        <v>493.42</v>
      </c>
      <c r="N44" s="44">
        <v>453.57</v>
      </c>
      <c r="R44" s="44">
        <v>456.98</v>
      </c>
      <c r="T44" s="44">
        <v>456.2</v>
      </c>
      <c r="V44" s="44">
        <v>472.21</v>
      </c>
    </row>
    <row r="45" spans="1:22">
      <c r="B45" s="44">
        <v>470.9</v>
      </c>
      <c r="D45" s="44">
        <v>428.09</v>
      </c>
      <c r="F45" s="44">
        <v>447.68</v>
      </c>
      <c r="J45" s="44">
        <v>438.32</v>
      </c>
      <c r="L45" s="44">
        <v>463.93</v>
      </c>
      <c r="N45" s="44">
        <v>488.63</v>
      </c>
      <c r="R45" s="44">
        <v>499.4</v>
      </c>
      <c r="T45" s="44">
        <v>508.01</v>
      </c>
      <c r="V45" s="44">
        <v>482.49</v>
      </c>
    </row>
    <row r="46" spans="1:22">
      <c r="B46" s="44">
        <v>460.5</v>
      </c>
      <c r="D46" s="44">
        <v>454.99</v>
      </c>
      <c r="F46" s="44">
        <v>464.93</v>
      </c>
      <c r="J46" s="44">
        <v>448.6</v>
      </c>
      <c r="L46" s="44">
        <v>473.96</v>
      </c>
      <c r="N46" s="44">
        <v>480.64</v>
      </c>
      <c r="R46" s="44">
        <v>496.54</v>
      </c>
      <c r="T46" s="44">
        <v>449.3</v>
      </c>
      <c r="V46" s="44">
        <v>497.57</v>
      </c>
    </row>
    <row r="47" spans="1:22">
      <c r="B47" s="44">
        <v>437.91</v>
      </c>
      <c r="D47" s="44">
        <v>450.89</v>
      </c>
      <c r="F47" s="44">
        <v>469.1</v>
      </c>
      <c r="J47" s="44">
        <v>454.7</v>
      </c>
      <c r="L47" s="44">
        <v>427.46</v>
      </c>
      <c r="N47" s="44">
        <v>468.5</v>
      </c>
      <c r="R47" s="44">
        <v>476.66</v>
      </c>
      <c r="T47" s="44">
        <v>445.21</v>
      </c>
      <c r="V47" s="44">
        <v>436.56</v>
      </c>
    </row>
    <row r="48" spans="1:22">
      <c r="B48" s="44">
        <v>462.6</v>
      </c>
      <c r="D48" s="44">
        <v>476.74</v>
      </c>
      <c r="F48" s="44">
        <v>447.7</v>
      </c>
      <c r="J48" s="44">
        <v>431.35</v>
      </c>
      <c r="L48" s="44">
        <v>483.33</v>
      </c>
      <c r="N48" s="44">
        <v>439.17</v>
      </c>
      <c r="R48" s="44">
        <v>499.7</v>
      </c>
      <c r="T48" s="44">
        <v>483.05</v>
      </c>
      <c r="V48" s="44">
        <v>454.66</v>
      </c>
    </row>
    <row r="49" spans="2:22">
      <c r="B49" s="44">
        <v>444.83</v>
      </c>
      <c r="D49" s="44">
        <v>470.9</v>
      </c>
      <c r="F49" s="44">
        <v>462.35</v>
      </c>
      <c r="J49" s="44">
        <v>475.43</v>
      </c>
      <c r="L49" s="44">
        <v>478.95</v>
      </c>
      <c r="N49" s="44">
        <v>497.25</v>
      </c>
      <c r="R49" s="44">
        <v>483.32</v>
      </c>
      <c r="T49" s="44">
        <v>498.91</v>
      </c>
      <c r="V49" s="44">
        <v>435.9</v>
      </c>
    </row>
    <row r="50" spans="2:22">
      <c r="B50" s="44">
        <v>434.9</v>
      </c>
      <c r="D50" s="44">
        <v>466.78</v>
      </c>
      <c r="F50" s="44">
        <v>426.4</v>
      </c>
      <c r="J50" s="44">
        <v>455.08</v>
      </c>
      <c r="L50" s="44">
        <v>433.51</v>
      </c>
      <c r="N50" s="44">
        <v>445.8</v>
      </c>
      <c r="R50" s="44">
        <v>451.5</v>
      </c>
      <c r="T50" s="44">
        <v>464.96</v>
      </c>
      <c r="V50" s="44">
        <v>446.8</v>
      </c>
    </row>
    <row r="51" spans="2:22">
      <c r="B51" s="44">
        <v>439.61</v>
      </c>
      <c r="D51" s="44">
        <v>423.2</v>
      </c>
      <c r="F51" s="44">
        <v>480.7</v>
      </c>
      <c r="J51" s="44">
        <v>494.56</v>
      </c>
      <c r="L51" s="44">
        <v>462.78</v>
      </c>
      <c r="N51" s="44">
        <v>494.81</v>
      </c>
      <c r="R51" s="44">
        <v>475.6</v>
      </c>
      <c r="T51" s="44">
        <v>455.15</v>
      </c>
      <c r="V51" s="44">
        <v>484.95</v>
      </c>
    </row>
    <row r="52" spans="2:22">
      <c r="B52" s="44">
        <v>480.41</v>
      </c>
      <c r="D52" s="44">
        <v>424.59</v>
      </c>
      <c r="F52" s="44">
        <v>431.6</v>
      </c>
      <c r="J52" s="44">
        <v>455.06</v>
      </c>
      <c r="L52" s="44">
        <v>448.38</v>
      </c>
      <c r="N52" s="44">
        <v>442.7</v>
      </c>
      <c r="R52" s="44">
        <v>444.67</v>
      </c>
      <c r="T52" s="44">
        <v>466.95</v>
      </c>
      <c r="V52" s="44">
        <v>485.07</v>
      </c>
    </row>
    <row r="53" spans="2:22">
      <c r="B53" s="44">
        <v>431.17</v>
      </c>
      <c r="D53" s="44">
        <v>425.58</v>
      </c>
      <c r="F53" s="44">
        <v>436.7</v>
      </c>
      <c r="J53" s="44">
        <v>470.84</v>
      </c>
      <c r="L53" s="44">
        <v>464.33</v>
      </c>
      <c r="N53" s="44">
        <v>453.8</v>
      </c>
      <c r="R53" s="44">
        <v>448.47</v>
      </c>
      <c r="T53" s="44">
        <v>457.45</v>
      </c>
      <c r="V53" s="44">
        <v>496.42</v>
      </c>
    </row>
    <row r="54" spans="2:22">
      <c r="B54" s="44">
        <v>441.4</v>
      </c>
      <c r="D54" s="44">
        <v>470.86</v>
      </c>
      <c r="F54" s="44">
        <v>471.7</v>
      </c>
      <c r="J54" s="44">
        <v>437.16</v>
      </c>
      <c r="L54" s="44">
        <v>453.66</v>
      </c>
      <c r="N54" s="44">
        <v>432.52</v>
      </c>
      <c r="R54" s="44">
        <v>476.9</v>
      </c>
      <c r="T54" s="44">
        <v>479.57</v>
      </c>
      <c r="V54" s="44">
        <v>474.94</v>
      </c>
    </row>
    <row r="55" spans="2:22">
      <c r="B55" s="44">
        <v>430.1</v>
      </c>
      <c r="D55" s="44">
        <v>480.09</v>
      </c>
      <c r="F55" s="44">
        <v>451.3</v>
      </c>
      <c r="J55" s="44">
        <v>453.56</v>
      </c>
      <c r="L55" s="44">
        <v>454.83</v>
      </c>
      <c r="N55" s="44">
        <v>473.6</v>
      </c>
      <c r="R55" s="44">
        <v>465.65</v>
      </c>
      <c r="T55" s="44">
        <v>508.78</v>
      </c>
      <c r="V55" s="44">
        <v>437.72</v>
      </c>
    </row>
    <row r="56" spans="2:22">
      <c r="B56" s="44">
        <v>453.3</v>
      </c>
      <c r="D56" s="44">
        <v>463.55</v>
      </c>
      <c r="F56" s="44">
        <v>469.81</v>
      </c>
      <c r="J56" s="44">
        <v>437.65</v>
      </c>
      <c r="L56" s="44">
        <v>437.89</v>
      </c>
      <c r="N56" s="44">
        <v>439.45</v>
      </c>
      <c r="R56" s="44">
        <v>457.05</v>
      </c>
      <c r="T56" s="44">
        <v>488.33</v>
      </c>
      <c r="V56" s="44">
        <v>499.69</v>
      </c>
    </row>
    <row r="57" spans="2:22">
      <c r="B57" s="44">
        <v>427.69</v>
      </c>
      <c r="D57" s="44">
        <v>428.36</v>
      </c>
      <c r="F57" s="44">
        <v>445.28</v>
      </c>
      <c r="J57" s="44">
        <v>480.77</v>
      </c>
      <c r="L57" s="44">
        <v>443.28</v>
      </c>
      <c r="N57" s="44">
        <v>429.4</v>
      </c>
      <c r="R57" s="44">
        <v>471.18</v>
      </c>
      <c r="T57" s="44">
        <v>449.44</v>
      </c>
      <c r="V57" s="44">
        <v>490.79</v>
      </c>
    </row>
    <row r="58" spans="2:22">
      <c r="B58" s="44">
        <v>480.54</v>
      </c>
      <c r="D58" s="44">
        <v>466.04</v>
      </c>
      <c r="F58" s="44">
        <v>437.18</v>
      </c>
      <c r="J58" s="44">
        <v>488.94</v>
      </c>
      <c r="L58" s="44">
        <v>426.3</v>
      </c>
      <c r="N58" s="44">
        <v>479.82</v>
      </c>
      <c r="R58" s="44">
        <v>482.12</v>
      </c>
      <c r="T58" s="44">
        <v>470.77</v>
      </c>
      <c r="V58" s="44">
        <v>453.37</v>
      </c>
    </row>
    <row r="59" spans="2:22">
      <c r="B59" s="44">
        <v>438.66</v>
      </c>
      <c r="D59" s="44">
        <v>427</v>
      </c>
      <c r="F59" s="44">
        <v>423.55</v>
      </c>
      <c r="J59" s="44">
        <v>451.3</v>
      </c>
      <c r="L59" s="44">
        <v>491.6</v>
      </c>
      <c r="N59" s="44">
        <v>451.86</v>
      </c>
      <c r="R59" s="44">
        <v>469.77</v>
      </c>
      <c r="T59" s="44">
        <v>445.98</v>
      </c>
      <c r="V59" s="44">
        <v>472.12</v>
      </c>
    </row>
    <row r="60" spans="2:22">
      <c r="B60" s="44">
        <v>432.48</v>
      </c>
      <c r="D60" s="44">
        <v>427.43</v>
      </c>
      <c r="F60" s="44">
        <v>463.52</v>
      </c>
      <c r="J60" s="44">
        <v>475.53</v>
      </c>
      <c r="L60" s="44">
        <v>472.08</v>
      </c>
      <c r="N60" s="44">
        <v>475.16</v>
      </c>
      <c r="R60" s="44">
        <v>467.42</v>
      </c>
      <c r="T60" s="44">
        <v>478.92</v>
      </c>
      <c r="V60" s="44">
        <v>504.2</v>
      </c>
    </row>
    <row r="61" spans="2:22">
      <c r="B61" s="44">
        <v>445.27</v>
      </c>
      <c r="D61" s="44">
        <v>460.8</v>
      </c>
      <c r="F61" s="44">
        <v>447.49</v>
      </c>
      <c r="J61" s="44">
        <v>447.26</v>
      </c>
      <c r="L61" s="44">
        <v>492.25</v>
      </c>
      <c r="N61" s="44">
        <v>454.57</v>
      </c>
      <c r="R61" s="44">
        <v>469.77</v>
      </c>
      <c r="T61" s="44">
        <v>473.79</v>
      </c>
      <c r="V61" s="44">
        <v>484.63</v>
      </c>
    </row>
    <row r="62" spans="2:22">
      <c r="B62" s="44">
        <v>454.16</v>
      </c>
      <c r="D62" s="44">
        <v>440.91</v>
      </c>
      <c r="F62" s="44">
        <v>448.94</v>
      </c>
      <c r="J62" s="44">
        <v>464.34</v>
      </c>
      <c r="L62" s="44">
        <v>436.64</v>
      </c>
      <c r="N62" s="44">
        <v>472.69</v>
      </c>
      <c r="R62" s="44">
        <v>464.47</v>
      </c>
      <c r="T62" s="44">
        <v>509.29</v>
      </c>
      <c r="V62" s="44">
        <v>493.6</v>
      </c>
    </row>
    <row r="63" spans="2:22">
      <c r="B63" s="44">
        <v>432.98</v>
      </c>
      <c r="D63" s="44">
        <v>461.64</v>
      </c>
      <c r="F63" s="44">
        <v>459.3</v>
      </c>
      <c r="J63" s="44">
        <v>486.1</v>
      </c>
      <c r="L63" s="44">
        <v>491.42</v>
      </c>
      <c r="N63" s="44">
        <v>427.62</v>
      </c>
      <c r="R63" s="44">
        <v>433.52</v>
      </c>
      <c r="T63" s="44">
        <v>501.8</v>
      </c>
      <c r="V63" s="44">
        <v>464.09</v>
      </c>
    </row>
    <row r="64" spans="2:22">
      <c r="B64" s="44">
        <v>485.34</v>
      </c>
      <c r="D64" s="44">
        <v>467.72</v>
      </c>
      <c r="F64" s="44">
        <v>423.55</v>
      </c>
      <c r="J64" s="44">
        <v>469.17</v>
      </c>
      <c r="L64" s="44">
        <v>482.27</v>
      </c>
      <c r="N64" s="44">
        <v>493.8</v>
      </c>
      <c r="R64" s="44">
        <v>479.8</v>
      </c>
      <c r="T64" s="44">
        <v>477.76</v>
      </c>
      <c r="V64" s="44">
        <v>466.8</v>
      </c>
    </row>
    <row r="65" spans="1:22">
      <c r="B65" s="44">
        <v>446.75</v>
      </c>
      <c r="D65" s="44">
        <v>457.1</v>
      </c>
      <c r="F65" s="44">
        <v>440</v>
      </c>
      <c r="J65" s="44">
        <v>450.2</v>
      </c>
      <c r="L65" s="44">
        <v>466.57</v>
      </c>
      <c r="N65" s="44">
        <v>485.58</v>
      </c>
      <c r="R65" s="44">
        <v>500.28</v>
      </c>
      <c r="T65" s="44">
        <v>507.9</v>
      </c>
      <c r="V65" s="44">
        <v>473.36</v>
      </c>
    </row>
    <row r="66" spans="1:22">
      <c r="B66" s="44">
        <v>444.68</v>
      </c>
      <c r="D66" s="44">
        <v>467.14</v>
      </c>
      <c r="F66" s="44">
        <v>470.06</v>
      </c>
      <c r="J66" s="44">
        <v>447.6</v>
      </c>
      <c r="L66" s="44">
        <v>456.63</v>
      </c>
      <c r="N66" s="44">
        <v>481.5</v>
      </c>
      <c r="R66" s="44">
        <v>452.84</v>
      </c>
      <c r="T66" s="44">
        <v>452.1</v>
      </c>
      <c r="V66" s="44">
        <v>452.15</v>
      </c>
    </row>
    <row r="67" spans="1:22">
      <c r="B67" s="44">
        <v>430.6</v>
      </c>
      <c r="D67" s="44">
        <v>434.9</v>
      </c>
      <c r="F67" s="44">
        <v>465.04</v>
      </c>
      <c r="J67" s="44">
        <v>458.7</v>
      </c>
      <c r="L67" s="44">
        <v>443.4</v>
      </c>
      <c r="N67" s="44">
        <v>486.5</v>
      </c>
      <c r="R67" s="44">
        <v>498.44</v>
      </c>
      <c r="T67" s="44">
        <v>470.71</v>
      </c>
      <c r="V67" s="44">
        <v>487.05</v>
      </c>
    </row>
    <row r="68" spans="1:22">
      <c r="B68" s="44">
        <v>485.34</v>
      </c>
      <c r="D68" s="44">
        <v>486.34</v>
      </c>
      <c r="F68" s="44">
        <v>486.34</v>
      </c>
      <c r="J68" s="44">
        <v>494.56</v>
      </c>
      <c r="L68" s="44">
        <v>493.42</v>
      </c>
      <c r="N68" s="44">
        <v>497.83</v>
      </c>
      <c r="R68" s="44">
        <v>507.47</v>
      </c>
      <c r="T68" s="44">
        <v>509.29</v>
      </c>
      <c r="V68" s="44">
        <v>506.29</v>
      </c>
    </row>
    <row r="69" spans="1:22">
      <c r="A69" s="153" t="s">
        <v>6</v>
      </c>
      <c r="B69" s="154">
        <f t="shared" ref="B69:F69" si="1">AVERAGE(B39:B68)</f>
        <v>450.862333333333</v>
      </c>
      <c r="D69" s="154">
        <f t="shared" si="1"/>
        <v>451.559666666667</v>
      </c>
      <c r="F69" s="154">
        <f t="shared" si="1"/>
        <v>452.371333333333</v>
      </c>
      <c r="I69" s="153" t="s">
        <v>6</v>
      </c>
      <c r="J69" s="154">
        <f t="shared" ref="J69:N69" si="2">AVERAGE(J39:J68)</f>
        <v>460.253333333333</v>
      </c>
      <c r="L69" s="154">
        <f t="shared" si="2"/>
        <v>461.886</v>
      </c>
      <c r="N69" s="154">
        <f t="shared" si="2"/>
        <v>462.504333333333</v>
      </c>
      <c r="Q69" s="153" t="s">
        <v>6</v>
      </c>
      <c r="R69" s="154">
        <f t="shared" ref="R69:V69" si="3">AVERAGE(R39:R68)</f>
        <v>470.623666666667</v>
      </c>
      <c r="T69" s="154">
        <f t="shared" si="3"/>
        <v>472.593666666667</v>
      </c>
      <c r="V69" s="154">
        <f t="shared" si="3"/>
        <v>471.899666666667</v>
      </c>
    </row>
  </sheetData>
  <autoFilter xmlns:etc="http://www.wps.cn/officeDocument/2017/etCustomData" ref="R2:V33" etc:filterBottomFollowUsedRange="0">
    <extLst/>
  </autoFilter>
  <mergeCells count="6">
    <mergeCell ref="B1:F1"/>
    <mergeCell ref="J1:N1"/>
    <mergeCell ref="R1:V1"/>
    <mergeCell ref="B37:F37"/>
    <mergeCell ref="J37:N37"/>
    <mergeCell ref="R37:V3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"/>
  <sheetViews>
    <sheetView workbookViewId="0">
      <selection activeCell="M7" sqref="M7"/>
    </sheetView>
  </sheetViews>
  <sheetFormatPr defaultColWidth="9" defaultRowHeight="14.25"/>
  <sheetData>
    <row r="1" ht="21" customHeight="1" spans="1:9">
      <c r="A1" s="147" t="s">
        <v>10</v>
      </c>
      <c r="B1" s="148" t="s">
        <v>11</v>
      </c>
      <c r="C1" s="148" t="s">
        <v>12</v>
      </c>
      <c r="D1" s="148" t="s">
        <v>13</v>
      </c>
      <c r="E1" s="148"/>
      <c r="F1" s="147" t="s">
        <v>10</v>
      </c>
      <c r="G1" s="148" t="s">
        <v>11</v>
      </c>
      <c r="H1" s="148" t="s">
        <v>12</v>
      </c>
      <c r="I1" s="148" t="s">
        <v>13</v>
      </c>
    </row>
    <row r="2" ht="21" customHeight="1" spans="1:9">
      <c r="A2" s="149">
        <v>1</v>
      </c>
      <c r="B2" s="149">
        <v>6</v>
      </c>
      <c r="C2" s="149">
        <v>7</v>
      </c>
      <c r="D2" s="149">
        <v>23</v>
      </c>
      <c r="E2" s="149"/>
      <c r="F2" s="149">
        <v>21</v>
      </c>
      <c r="G2" s="149">
        <v>11</v>
      </c>
      <c r="H2" s="149">
        <v>9</v>
      </c>
      <c r="I2" s="149">
        <v>4</v>
      </c>
    </row>
    <row r="3" ht="21" customHeight="1" spans="1:9">
      <c r="A3" s="149">
        <v>2</v>
      </c>
      <c r="B3" s="149">
        <v>3</v>
      </c>
      <c r="C3" s="149">
        <v>4</v>
      </c>
      <c r="D3" s="149">
        <v>12</v>
      </c>
      <c r="E3" s="149"/>
      <c r="F3" s="149">
        <v>22</v>
      </c>
      <c r="G3" s="149">
        <v>29</v>
      </c>
      <c r="H3" s="149">
        <v>3</v>
      </c>
      <c r="I3" s="149">
        <v>10</v>
      </c>
    </row>
    <row r="4" ht="21" customHeight="1" spans="1:9">
      <c r="A4" s="149">
        <v>3</v>
      </c>
      <c r="B4" s="149">
        <v>27</v>
      </c>
      <c r="C4" s="149">
        <v>5</v>
      </c>
      <c r="D4" s="149">
        <v>25</v>
      </c>
      <c r="E4" s="149"/>
      <c r="F4" s="149">
        <v>23</v>
      </c>
      <c r="G4" s="149">
        <v>5</v>
      </c>
      <c r="H4" s="149">
        <v>7</v>
      </c>
      <c r="I4" s="149">
        <v>17</v>
      </c>
    </row>
    <row r="5" ht="21" customHeight="1" spans="1:9">
      <c r="A5" s="149">
        <v>4</v>
      </c>
      <c r="B5" s="149">
        <v>3</v>
      </c>
      <c r="C5" s="149">
        <v>5</v>
      </c>
      <c r="D5" s="149">
        <v>6</v>
      </c>
      <c r="E5" s="149"/>
      <c r="F5" s="149">
        <v>24</v>
      </c>
      <c r="G5" s="149">
        <v>3</v>
      </c>
      <c r="H5" s="149">
        <v>5</v>
      </c>
      <c r="I5" s="149">
        <v>8</v>
      </c>
    </row>
    <row r="6" ht="21" customHeight="1" spans="1:9">
      <c r="A6" s="149">
        <v>5</v>
      </c>
      <c r="B6" s="149">
        <v>12</v>
      </c>
      <c r="C6" s="149">
        <v>3</v>
      </c>
      <c r="D6" s="149">
        <v>5</v>
      </c>
      <c r="E6" s="149"/>
      <c r="F6" s="149">
        <v>25</v>
      </c>
      <c r="G6" s="149">
        <v>7</v>
      </c>
      <c r="H6" s="149">
        <v>9</v>
      </c>
      <c r="I6" s="149">
        <v>15</v>
      </c>
    </row>
    <row r="7" ht="21" customHeight="1" spans="1:9">
      <c r="A7" s="149">
        <v>6</v>
      </c>
      <c r="B7" s="149">
        <v>28</v>
      </c>
      <c r="C7" s="149">
        <v>8</v>
      </c>
      <c r="D7" s="149">
        <v>4</v>
      </c>
      <c r="E7" s="149"/>
      <c r="F7" s="149">
        <v>26</v>
      </c>
      <c r="G7" s="149">
        <v>8</v>
      </c>
      <c r="H7" s="149">
        <v>4</v>
      </c>
      <c r="I7" s="149">
        <v>24</v>
      </c>
    </row>
    <row r="8" ht="21" customHeight="1" spans="1:9">
      <c r="A8" s="149">
        <v>7</v>
      </c>
      <c r="B8" s="149">
        <v>22</v>
      </c>
      <c r="C8" s="149">
        <v>3</v>
      </c>
      <c r="D8" s="149">
        <v>23</v>
      </c>
      <c r="E8" s="149"/>
      <c r="F8" s="149">
        <v>27</v>
      </c>
      <c r="G8" s="149">
        <v>8</v>
      </c>
      <c r="H8" s="149">
        <v>8</v>
      </c>
      <c r="I8" s="149">
        <v>20</v>
      </c>
    </row>
    <row r="9" ht="21" customHeight="1" spans="1:9">
      <c r="A9" s="149">
        <v>8</v>
      </c>
      <c r="B9" s="149">
        <v>14</v>
      </c>
      <c r="C9" s="149">
        <v>3</v>
      </c>
      <c r="D9" s="149">
        <v>16</v>
      </c>
      <c r="E9" s="149"/>
      <c r="F9" s="149">
        <v>28</v>
      </c>
      <c r="G9" s="149">
        <v>19</v>
      </c>
      <c r="H9" s="149">
        <v>4</v>
      </c>
      <c r="I9" s="149">
        <v>22</v>
      </c>
    </row>
    <row r="10" ht="21" customHeight="1" spans="1:9">
      <c r="A10" s="149">
        <v>9</v>
      </c>
      <c r="B10" s="149">
        <v>2</v>
      </c>
      <c r="C10" s="149">
        <v>7</v>
      </c>
      <c r="D10" s="149">
        <v>19</v>
      </c>
      <c r="E10" s="149"/>
      <c r="F10" s="149">
        <v>29</v>
      </c>
      <c r="G10" s="149">
        <v>11</v>
      </c>
      <c r="H10" s="149">
        <v>4</v>
      </c>
      <c r="I10" s="149">
        <v>21</v>
      </c>
    </row>
    <row r="11" ht="21" customHeight="1" spans="1:9">
      <c r="A11" s="149">
        <v>10</v>
      </c>
      <c r="B11" s="149">
        <v>2</v>
      </c>
      <c r="C11" s="149">
        <v>7</v>
      </c>
      <c r="D11" s="149">
        <v>22</v>
      </c>
      <c r="E11" s="149"/>
      <c r="F11" s="149">
        <v>30</v>
      </c>
      <c r="G11" s="149">
        <v>25</v>
      </c>
      <c r="H11" s="149">
        <v>3</v>
      </c>
      <c r="I11" s="149">
        <v>20</v>
      </c>
    </row>
    <row r="12" ht="21" customHeight="1" spans="1:9">
      <c r="A12" s="149">
        <v>11</v>
      </c>
      <c r="B12" s="149">
        <v>26</v>
      </c>
      <c r="C12" s="149">
        <v>10</v>
      </c>
      <c r="D12" s="149">
        <v>15</v>
      </c>
      <c r="E12" s="149"/>
      <c r="F12" s="149">
        <v>31</v>
      </c>
      <c r="G12" s="149">
        <v>9</v>
      </c>
      <c r="H12" s="149">
        <v>6</v>
      </c>
      <c r="I12" s="149">
        <v>15</v>
      </c>
    </row>
    <row r="13" ht="21" customHeight="1" spans="1:9">
      <c r="A13" s="149">
        <v>12</v>
      </c>
      <c r="B13" s="149">
        <v>1</v>
      </c>
      <c r="C13" s="149">
        <v>10</v>
      </c>
      <c r="D13" s="149">
        <v>8</v>
      </c>
      <c r="E13" s="149"/>
      <c r="F13" s="149">
        <v>32</v>
      </c>
      <c r="G13" s="149">
        <v>30</v>
      </c>
      <c r="H13" s="149">
        <v>10</v>
      </c>
      <c r="I13" s="149">
        <v>22</v>
      </c>
    </row>
    <row r="14" ht="21" customHeight="1" spans="1:9">
      <c r="A14" s="149">
        <v>13</v>
      </c>
      <c r="B14" s="149">
        <v>2</v>
      </c>
      <c r="C14" s="149">
        <v>5</v>
      </c>
      <c r="D14" s="149">
        <v>21</v>
      </c>
      <c r="E14" s="149"/>
      <c r="F14" s="149">
        <v>33</v>
      </c>
      <c r="G14" s="149">
        <v>22</v>
      </c>
      <c r="H14" s="149">
        <v>8</v>
      </c>
      <c r="I14" s="149">
        <v>3</v>
      </c>
    </row>
    <row r="15" ht="21" customHeight="1" spans="1:9">
      <c r="A15" s="149">
        <v>14</v>
      </c>
      <c r="B15" s="149">
        <v>16</v>
      </c>
      <c r="C15" s="149">
        <v>4</v>
      </c>
      <c r="D15" s="149">
        <v>19</v>
      </c>
      <c r="E15" s="149"/>
      <c r="F15" s="149">
        <v>34</v>
      </c>
      <c r="G15" s="149">
        <v>29</v>
      </c>
      <c r="H15" s="149">
        <v>1</v>
      </c>
      <c r="I15" s="149">
        <v>2</v>
      </c>
    </row>
    <row r="16" ht="21" customHeight="1" spans="1:9">
      <c r="A16" s="149">
        <v>15</v>
      </c>
      <c r="B16" s="149">
        <v>6</v>
      </c>
      <c r="C16" s="149">
        <v>4</v>
      </c>
      <c r="D16" s="149">
        <v>22</v>
      </c>
      <c r="E16" s="149"/>
      <c r="F16" s="149">
        <v>35</v>
      </c>
      <c r="G16" s="149">
        <v>28</v>
      </c>
      <c r="H16" s="149">
        <v>9</v>
      </c>
      <c r="I16" s="149">
        <v>16</v>
      </c>
    </row>
    <row r="17" ht="21" customHeight="1" spans="1:9">
      <c r="A17" s="149">
        <v>16</v>
      </c>
      <c r="B17" s="149">
        <v>26</v>
      </c>
      <c r="C17" s="149">
        <v>9</v>
      </c>
      <c r="D17" s="149">
        <v>22</v>
      </c>
      <c r="E17" s="149"/>
      <c r="F17" s="149">
        <v>36</v>
      </c>
      <c r="G17" s="149">
        <v>6</v>
      </c>
      <c r="H17" s="149">
        <v>2</v>
      </c>
      <c r="I17" s="149">
        <v>13</v>
      </c>
    </row>
    <row r="18" ht="21" customHeight="1" spans="1:9">
      <c r="A18" s="149">
        <v>17</v>
      </c>
      <c r="B18" s="149">
        <v>18</v>
      </c>
      <c r="C18" s="149">
        <v>5</v>
      </c>
      <c r="D18" s="149">
        <v>4</v>
      </c>
      <c r="E18" s="149"/>
      <c r="F18" s="149">
        <v>37</v>
      </c>
      <c r="G18" s="149">
        <v>10</v>
      </c>
      <c r="H18" s="149">
        <v>5</v>
      </c>
      <c r="I18" s="149">
        <v>17</v>
      </c>
    </row>
    <row r="19" ht="21" customHeight="1" spans="1:9">
      <c r="A19" s="149">
        <v>18</v>
      </c>
      <c r="B19" s="149">
        <v>3</v>
      </c>
      <c r="C19" s="149">
        <v>6</v>
      </c>
      <c r="D19" s="149">
        <v>11</v>
      </c>
      <c r="E19" s="149"/>
      <c r="F19" s="149">
        <v>38</v>
      </c>
      <c r="G19" s="149">
        <v>21</v>
      </c>
      <c r="H19" s="149">
        <v>1</v>
      </c>
      <c r="I19" s="149">
        <v>3</v>
      </c>
    </row>
    <row r="20" spans="1:9">
      <c r="A20" s="149">
        <v>19</v>
      </c>
      <c r="B20" s="149">
        <v>4</v>
      </c>
      <c r="C20" s="149">
        <v>10</v>
      </c>
      <c r="D20" s="149">
        <v>12</v>
      </c>
      <c r="E20" s="149"/>
      <c r="F20" s="149">
        <v>39</v>
      </c>
      <c r="G20" s="149">
        <v>2</v>
      </c>
      <c r="H20" s="149">
        <v>10</v>
      </c>
      <c r="I20" s="149">
        <v>16</v>
      </c>
    </row>
    <row r="21" ht="15" spans="1:9">
      <c r="A21" s="150">
        <v>20</v>
      </c>
      <c r="B21" s="150">
        <v>2</v>
      </c>
      <c r="C21" s="150">
        <v>5</v>
      </c>
      <c r="D21" s="150">
        <v>13</v>
      </c>
      <c r="E21" s="150"/>
      <c r="F21" s="150">
        <v>40</v>
      </c>
      <c r="G21" s="150">
        <v>29</v>
      </c>
      <c r="H21" s="150">
        <v>6</v>
      </c>
      <c r="I21" s="150">
        <v>23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95"/>
  <sheetViews>
    <sheetView topLeftCell="A165" workbookViewId="0">
      <selection activeCell="B161" sqref="B161:I190"/>
    </sheetView>
  </sheetViews>
  <sheetFormatPr defaultColWidth="9" defaultRowHeight="15.75"/>
  <cols>
    <col min="1" max="1" width="11.125" style="38" customWidth="1"/>
    <col min="2" max="8" width="12.5" style="47" customWidth="1"/>
    <col min="9" max="9" width="12.5" style="11" customWidth="1"/>
    <col min="10" max="11" width="9.75"/>
  </cols>
  <sheetData>
    <row r="1" ht="31.5" spans="1:9">
      <c r="A1" s="132" t="s">
        <v>14</v>
      </c>
      <c r="B1" s="11" t="s">
        <v>15</v>
      </c>
      <c r="C1" s="11" t="s">
        <v>16</v>
      </c>
      <c r="D1" s="11" t="s">
        <v>17</v>
      </c>
      <c r="E1" s="11" t="s">
        <v>18</v>
      </c>
      <c r="F1" s="11" t="s">
        <v>19</v>
      </c>
      <c r="G1" s="11" t="s">
        <v>20</v>
      </c>
      <c r="H1" s="11" t="s">
        <v>21</v>
      </c>
      <c r="I1" s="12" t="s">
        <v>22</v>
      </c>
    </row>
    <row r="2" spans="1:9">
      <c r="A2" s="38">
        <v>1</v>
      </c>
      <c r="B2" s="133">
        <v>231.87</v>
      </c>
      <c r="C2" s="133">
        <v>215.58</v>
      </c>
      <c r="D2" s="133">
        <v>241.44</v>
      </c>
      <c r="E2" s="133">
        <v>235.55</v>
      </c>
      <c r="F2" s="134">
        <v>222.91</v>
      </c>
      <c r="G2" s="11">
        <v>221.25</v>
      </c>
      <c r="H2" s="11">
        <v>211.83</v>
      </c>
      <c r="I2" s="134">
        <v>201.62</v>
      </c>
    </row>
    <row r="3" spans="1:9">
      <c r="A3" s="38">
        <v>2</v>
      </c>
      <c r="B3" s="133">
        <v>239.99</v>
      </c>
      <c r="C3" s="133">
        <v>218.04</v>
      </c>
      <c r="D3" s="133">
        <v>251.3</v>
      </c>
      <c r="E3" s="133">
        <v>219.63</v>
      </c>
      <c r="F3" s="134">
        <v>217.45</v>
      </c>
      <c r="G3" s="11">
        <v>213.53</v>
      </c>
      <c r="H3" s="11">
        <v>208.38</v>
      </c>
      <c r="I3" s="134">
        <v>201.16</v>
      </c>
    </row>
    <row r="4" spans="1:9">
      <c r="A4" s="38">
        <v>3</v>
      </c>
      <c r="B4" s="133">
        <v>237.39</v>
      </c>
      <c r="C4" s="133">
        <v>227.7</v>
      </c>
      <c r="D4" s="133">
        <v>250.4</v>
      </c>
      <c r="E4" s="133">
        <v>221.99</v>
      </c>
      <c r="F4" s="134">
        <v>207.64</v>
      </c>
      <c r="G4" s="11">
        <v>216.2</v>
      </c>
      <c r="H4" s="11">
        <v>208.8</v>
      </c>
      <c r="I4" s="134">
        <v>198.47</v>
      </c>
    </row>
    <row r="5" spans="1:9">
      <c r="A5" s="38">
        <v>4</v>
      </c>
      <c r="B5" s="133">
        <v>218.6</v>
      </c>
      <c r="C5" s="133">
        <v>235.37</v>
      </c>
      <c r="D5" s="133">
        <v>243.17</v>
      </c>
      <c r="E5" s="133">
        <v>235.67</v>
      </c>
      <c r="F5" s="134">
        <v>212.67</v>
      </c>
      <c r="G5" s="11">
        <v>219.84</v>
      </c>
      <c r="H5" s="11">
        <v>202.37</v>
      </c>
      <c r="I5" s="134">
        <v>196.38</v>
      </c>
    </row>
    <row r="6" spans="1:9">
      <c r="A6" s="38">
        <v>5</v>
      </c>
      <c r="B6" s="11">
        <v>215.92</v>
      </c>
      <c r="C6" s="11">
        <v>231.3</v>
      </c>
      <c r="D6" s="133">
        <v>250.25</v>
      </c>
      <c r="E6" s="11">
        <v>237.91</v>
      </c>
      <c r="F6" s="134">
        <v>209.1</v>
      </c>
      <c r="G6" s="11">
        <v>207.1</v>
      </c>
      <c r="H6" s="11">
        <v>218.45</v>
      </c>
      <c r="I6" s="134">
        <v>204.16</v>
      </c>
    </row>
    <row r="7" spans="1:9">
      <c r="A7" s="38">
        <v>6</v>
      </c>
      <c r="B7" s="133">
        <v>215.7</v>
      </c>
      <c r="C7" s="133">
        <v>233.03</v>
      </c>
      <c r="D7" s="133">
        <v>245.7</v>
      </c>
      <c r="E7" s="133">
        <v>220.76</v>
      </c>
      <c r="F7" s="134">
        <v>208.4</v>
      </c>
      <c r="G7" s="11">
        <v>215.5</v>
      </c>
      <c r="H7" s="11">
        <v>217.24</v>
      </c>
      <c r="I7" s="134">
        <v>202.79</v>
      </c>
    </row>
    <row r="8" spans="1:9">
      <c r="A8" s="38">
        <v>7</v>
      </c>
      <c r="B8" s="133">
        <v>237.12</v>
      </c>
      <c r="C8" s="133">
        <v>214.99</v>
      </c>
      <c r="D8" s="133">
        <v>250.85</v>
      </c>
      <c r="E8" s="133">
        <v>223.35</v>
      </c>
      <c r="F8" s="134">
        <v>212.52</v>
      </c>
      <c r="G8" s="11">
        <v>219.13</v>
      </c>
      <c r="H8" s="135">
        <v>201.19</v>
      </c>
      <c r="I8" s="134">
        <v>201.88</v>
      </c>
    </row>
    <row r="9" spans="1:9">
      <c r="A9" s="38">
        <v>8</v>
      </c>
      <c r="B9" s="133">
        <v>220.74</v>
      </c>
      <c r="C9" s="133">
        <v>232.5</v>
      </c>
      <c r="D9" s="133">
        <v>239.95</v>
      </c>
      <c r="E9" s="133">
        <v>234.65</v>
      </c>
      <c r="F9" s="134">
        <v>214.8</v>
      </c>
      <c r="G9" s="11">
        <v>223.7</v>
      </c>
      <c r="H9" s="11">
        <v>206.6</v>
      </c>
      <c r="I9" s="134">
        <v>194.41</v>
      </c>
    </row>
    <row r="10" spans="1:9">
      <c r="A10" s="38">
        <v>9</v>
      </c>
      <c r="B10" s="133">
        <v>218.28</v>
      </c>
      <c r="C10" s="133">
        <v>219.75</v>
      </c>
      <c r="D10" s="133">
        <v>274.12</v>
      </c>
      <c r="E10" s="133">
        <v>235.28</v>
      </c>
      <c r="F10" s="134">
        <v>214.07</v>
      </c>
      <c r="G10" s="11">
        <v>207.01</v>
      </c>
      <c r="H10" s="11">
        <v>201.6</v>
      </c>
      <c r="I10" s="134">
        <v>207.2</v>
      </c>
    </row>
    <row r="11" spans="1:9">
      <c r="A11" s="38">
        <v>10</v>
      </c>
      <c r="B11" s="133">
        <v>232.27</v>
      </c>
      <c r="C11" s="133">
        <v>212.09</v>
      </c>
      <c r="D11" s="133">
        <v>227.03</v>
      </c>
      <c r="E11" s="133">
        <v>219.53</v>
      </c>
      <c r="F11" s="134">
        <v>225.93</v>
      </c>
      <c r="G11" s="11">
        <v>215.27</v>
      </c>
      <c r="H11" s="11">
        <v>205.4</v>
      </c>
      <c r="I11" s="134">
        <v>203.25</v>
      </c>
    </row>
    <row r="12" spans="1:9">
      <c r="A12" s="38">
        <v>11</v>
      </c>
      <c r="B12" s="133">
        <v>216.9</v>
      </c>
      <c r="C12" s="133">
        <v>212.66</v>
      </c>
      <c r="D12" s="133">
        <v>251.67</v>
      </c>
      <c r="E12" s="133">
        <v>237.46</v>
      </c>
      <c r="F12" s="134">
        <v>220.88</v>
      </c>
      <c r="G12" s="11">
        <v>205.68</v>
      </c>
      <c r="H12" s="11">
        <v>216.61</v>
      </c>
      <c r="I12" s="134">
        <v>204.33</v>
      </c>
    </row>
    <row r="13" spans="1:9">
      <c r="A13" s="38">
        <v>12</v>
      </c>
      <c r="B13" s="11">
        <v>242.8</v>
      </c>
      <c r="C13" s="11">
        <v>222.72</v>
      </c>
      <c r="D13" s="133">
        <v>267.4</v>
      </c>
      <c r="E13" s="133">
        <v>222.9</v>
      </c>
      <c r="F13" s="134">
        <v>209.13</v>
      </c>
      <c r="G13" s="11">
        <v>208.03</v>
      </c>
      <c r="H13" s="11">
        <v>207.66</v>
      </c>
      <c r="I13" s="134">
        <v>201.47</v>
      </c>
    </row>
    <row r="14" spans="1:9">
      <c r="A14" s="38">
        <v>13</v>
      </c>
      <c r="B14" s="133">
        <v>231.9</v>
      </c>
      <c r="C14" s="135">
        <v>240.64</v>
      </c>
      <c r="D14" s="133">
        <v>261.73</v>
      </c>
      <c r="E14" s="133">
        <v>236.4</v>
      </c>
      <c r="F14" s="134">
        <v>222.74</v>
      </c>
      <c r="G14" s="11">
        <v>223.42</v>
      </c>
      <c r="H14" s="11">
        <v>218.11</v>
      </c>
      <c r="I14" s="134">
        <v>205.11</v>
      </c>
    </row>
    <row r="15" spans="1:9">
      <c r="A15" s="38">
        <v>14</v>
      </c>
      <c r="B15" s="133">
        <v>222.82</v>
      </c>
      <c r="C15" s="133">
        <v>231.5</v>
      </c>
      <c r="D15" s="133">
        <v>234.73</v>
      </c>
      <c r="E15" s="133">
        <v>223.86</v>
      </c>
      <c r="F15" s="134">
        <v>220.05</v>
      </c>
      <c r="G15" s="11">
        <v>224.75</v>
      </c>
      <c r="H15" s="11">
        <v>207.48</v>
      </c>
      <c r="I15" s="134">
        <v>207.41</v>
      </c>
    </row>
    <row r="16" spans="1:9">
      <c r="A16" s="38">
        <v>15</v>
      </c>
      <c r="B16" s="133">
        <v>230.8</v>
      </c>
      <c r="C16" s="133">
        <v>228.8</v>
      </c>
      <c r="D16" s="133">
        <v>240.66</v>
      </c>
      <c r="E16" s="133">
        <v>225.99</v>
      </c>
      <c r="F16" s="134">
        <v>224.4</v>
      </c>
      <c r="G16" s="11">
        <v>211.68</v>
      </c>
      <c r="H16" s="11">
        <v>206.25</v>
      </c>
      <c r="I16" s="134">
        <v>200.4</v>
      </c>
    </row>
    <row r="17" spans="1:9">
      <c r="A17" s="38">
        <v>16</v>
      </c>
      <c r="B17" s="133">
        <v>226.47</v>
      </c>
      <c r="C17" s="133">
        <v>207.86</v>
      </c>
      <c r="D17" s="133">
        <v>282.46</v>
      </c>
      <c r="E17" s="133">
        <v>233.04</v>
      </c>
      <c r="F17" s="134">
        <v>216.47</v>
      </c>
      <c r="G17" s="11">
        <v>211.88</v>
      </c>
      <c r="H17" s="11">
        <v>211.15</v>
      </c>
      <c r="I17" s="134">
        <v>195.81</v>
      </c>
    </row>
    <row r="18" spans="1:9">
      <c r="A18" s="38">
        <v>17</v>
      </c>
      <c r="B18" s="133">
        <v>218.59</v>
      </c>
      <c r="C18" s="133">
        <v>224.1</v>
      </c>
      <c r="D18" s="133">
        <v>244.1</v>
      </c>
      <c r="E18" s="133">
        <v>232</v>
      </c>
      <c r="F18" s="134">
        <v>217.55</v>
      </c>
      <c r="G18" s="11">
        <v>217.78</v>
      </c>
      <c r="H18" s="11">
        <v>203.03</v>
      </c>
      <c r="I18" s="134">
        <v>205.11</v>
      </c>
    </row>
    <row r="19" spans="1:9">
      <c r="A19" s="38">
        <v>18</v>
      </c>
      <c r="B19" s="133">
        <v>235.51</v>
      </c>
      <c r="C19" s="133">
        <v>228.97</v>
      </c>
      <c r="D19" s="133">
        <v>236.72</v>
      </c>
      <c r="E19" s="133">
        <v>220.65</v>
      </c>
      <c r="F19" s="134">
        <v>210.79</v>
      </c>
      <c r="G19" s="11">
        <v>225.6</v>
      </c>
      <c r="H19" s="11">
        <v>217.06</v>
      </c>
      <c r="I19" s="134">
        <v>210.35</v>
      </c>
    </row>
    <row r="20" spans="1:9">
      <c r="A20" s="38">
        <v>19</v>
      </c>
      <c r="B20" s="133">
        <v>223.93</v>
      </c>
      <c r="C20" s="133">
        <v>221.9</v>
      </c>
      <c r="D20" s="133">
        <v>230.26</v>
      </c>
      <c r="E20" s="133">
        <v>233.78</v>
      </c>
      <c r="F20" s="134">
        <v>218.65</v>
      </c>
      <c r="G20" s="11">
        <v>212.11</v>
      </c>
      <c r="H20" s="11">
        <v>209.95</v>
      </c>
      <c r="I20" s="134">
        <v>201.26</v>
      </c>
    </row>
    <row r="21" spans="1:9">
      <c r="A21" s="38">
        <v>20</v>
      </c>
      <c r="B21" s="133">
        <v>234.23</v>
      </c>
      <c r="C21" s="133">
        <v>240.18</v>
      </c>
      <c r="D21" s="133">
        <v>231.73</v>
      </c>
      <c r="E21" s="133">
        <v>226.39</v>
      </c>
      <c r="F21" s="134">
        <v>231.31</v>
      </c>
      <c r="G21" s="11">
        <v>206.08</v>
      </c>
      <c r="H21" s="11">
        <v>215.14</v>
      </c>
      <c r="I21" s="134">
        <v>197.06</v>
      </c>
    </row>
    <row r="22" spans="1:9">
      <c r="A22" s="38">
        <v>21</v>
      </c>
      <c r="B22" s="133">
        <v>228.88</v>
      </c>
      <c r="C22" s="133">
        <v>229.84</v>
      </c>
      <c r="D22" s="133">
        <v>232.73</v>
      </c>
      <c r="E22" s="133">
        <v>231.41</v>
      </c>
      <c r="F22" s="134">
        <v>217.04</v>
      </c>
      <c r="G22" s="11">
        <v>223.2</v>
      </c>
      <c r="H22" s="11">
        <v>216.9</v>
      </c>
      <c r="I22" s="134">
        <v>220.35</v>
      </c>
    </row>
    <row r="23" spans="1:9">
      <c r="A23" s="38">
        <v>22</v>
      </c>
      <c r="B23" s="133">
        <v>239.37</v>
      </c>
      <c r="C23" s="133">
        <v>221.52</v>
      </c>
      <c r="D23" s="133">
        <v>229.46</v>
      </c>
      <c r="E23" s="133">
        <v>236.6</v>
      </c>
      <c r="F23" s="134">
        <v>215.45</v>
      </c>
      <c r="G23" s="11">
        <v>208.1</v>
      </c>
      <c r="H23" s="135">
        <v>219.76</v>
      </c>
      <c r="I23" s="134">
        <v>201.09</v>
      </c>
    </row>
    <row r="24" spans="1:9">
      <c r="A24" s="38">
        <v>23</v>
      </c>
      <c r="B24" s="133">
        <v>224.16</v>
      </c>
      <c r="C24" s="133">
        <v>214.07</v>
      </c>
      <c r="D24" s="133">
        <v>248.07</v>
      </c>
      <c r="E24" s="133">
        <v>235.42</v>
      </c>
      <c r="F24" s="134">
        <v>209.92</v>
      </c>
      <c r="G24" s="11">
        <v>222.83</v>
      </c>
      <c r="H24" s="11">
        <v>211.94</v>
      </c>
      <c r="I24" s="134">
        <v>195.69</v>
      </c>
    </row>
    <row r="25" spans="1:9">
      <c r="A25" s="38">
        <v>24</v>
      </c>
      <c r="B25" s="11">
        <v>213.23</v>
      </c>
      <c r="C25" s="11">
        <v>232.07</v>
      </c>
      <c r="D25" s="133">
        <v>238.55</v>
      </c>
      <c r="E25" s="133">
        <v>237.07</v>
      </c>
      <c r="F25" s="134">
        <v>210.68</v>
      </c>
      <c r="G25" s="11">
        <v>207.2</v>
      </c>
      <c r="H25" s="11">
        <v>209.7</v>
      </c>
      <c r="I25" s="134">
        <v>201.35</v>
      </c>
    </row>
    <row r="26" spans="1:9">
      <c r="A26" s="38">
        <v>25</v>
      </c>
      <c r="B26" s="133">
        <v>217.18</v>
      </c>
      <c r="C26" s="133">
        <v>216.96</v>
      </c>
      <c r="D26" s="133">
        <v>246.4</v>
      </c>
      <c r="E26" s="133">
        <v>222.94</v>
      </c>
      <c r="F26" s="134">
        <v>233.1</v>
      </c>
      <c r="G26" s="11">
        <v>213.37</v>
      </c>
      <c r="H26" s="11">
        <v>216.98</v>
      </c>
      <c r="I26" s="134">
        <v>209.81</v>
      </c>
    </row>
    <row r="27" spans="1:9">
      <c r="A27" s="38">
        <v>26</v>
      </c>
      <c r="B27" s="133">
        <v>224.89</v>
      </c>
      <c r="C27" s="133">
        <v>213.85</v>
      </c>
      <c r="D27" s="133">
        <v>228.9</v>
      </c>
      <c r="E27" s="133">
        <v>228.93</v>
      </c>
      <c r="F27" s="134">
        <v>232.7</v>
      </c>
      <c r="G27" s="11">
        <v>211.22</v>
      </c>
      <c r="H27" s="11">
        <v>209.21</v>
      </c>
      <c r="I27" s="134">
        <v>203.11</v>
      </c>
    </row>
    <row r="28" spans="1:9">
      <c r="A28" s="38">
        <v>27</v>
      </c>
      <c r="B28" s="133">
        <v>214.88</v>
      </c>
      <c r="C28" s="133">
        <v>217.89</v>
      </c>
      <c r="D28" s="133">
        <v>251.72</v>
      </c>
      <c r="E28" s="133">
        <v>222.66</v>
      </c>
      <c r="F28" s="134">
        <v>207.64</v>
      </c>
      <c r="G28" s="11">
        <v>206.09</v>
      </c>
      <c r="H28" s="11">
        <v>211.29</v>
      </c>
      <c r="I28" s="134">
        <v>196.7</v>
      </c>
    </row>
    <row r="29" spans="1:9">
      <c r="A29" s="38">
        <v>28</v>
      </c>
      <c r="B29" s="133">
        <v>217.85</v>
      </c>
      <c r="C29" s="133">
        <v>214.66</v>
      </c>
      <c r="D29" s="133">
        <v>238.27</v>
      </c>
      <c r="E29" s="133">
        <v>236.1</v>
      </c>
      <c r="F29" s="134">
        <v>208.84</v>
      </c>
      <c r="G29" s="11">
        <v>220.91</v>
      </c>
      <c r="H29" s="11">
        <v>211.3</v>
      </c>
      <c r="I29" s="134">
        <v>203.5</v>
      </c>
    </row>
    <row r="30" spans="1:9">
      <c r="A30" s="38">
        <v>29</v>
      </c>
      <c r="B30" s="133">
        <v>228.58</v>
      </c>
      <c r="C30" s="135">
        <v>206.28</v>
      </c>
      <c r="D30" s="133">
        <v>227.38</v>
      </c>
      <c r="E30" s="133">
        <v>223.74</v>
      </c>
      <c r="F30" s="134">
        <v>227.13</v>
      </c>
      <c r="G30" s="11">
        <v>222.03</v>
      </c>
      <c r="H30" s="11">
        <v>214.43</v>
      </c>
      <c r="I30" s="134">
        <v>201.13</v>
      </c>
    </row>
    <row r="31" spans="1:9">
      <c r="A31" s="38">
        <v>30</v>
      </c>
      <c r="B31" s="135">
        <v>239.15</v>
      </c>
      <c r="C31" s="135">
        <v>232.03</v>
      </c>
      <c r="D31" s="133">
        <v>253.11</v>
      </c>
      <c r="E31" s="135">
        <v>219.27</v>
      </c>
      <c r="F31" s="134">
        <v>227.5</v>
      </c>
      <c r="G31" s="11">
        <v>222.96</v>
      </c>
      <c r="H31" s="11">
        <v>214.45</v>
      </c>
      <c r="I31" s="134">
        <v>195.03</v>
      </c>
    </row>
    <row r="32" spans="1:9">
      <c r="B32" s="11"/>
      <c r="C32" s="11"/>
      <c r="D32" s="11"/>
      <c r="E32" s="11"/>
      <c r="F32" s="134"/>
      <c r="G32" s="11"/>
      <c r="H32" s="11"/>
      <c r="I32" s="134"/>
    </row>
    <row r="33" spans="1:9">
      <c r="A33" s="38" t="s">
        <v>23</v>
      </c>
      <c r="B33" s="133">
        <f t="shared" ref="B33:I33" si="0">MIN(B2:B31)</f>
        <v>213.23</v>
      </c>
      <c r="C33" s="133">
        <f t="shared" si="0"/>
        <v>206.28</v>
      </c>
      <c r="D33" s="11">
        <f t="shared" si="0"/>
        <v>227.03</v>
      </c>
      <c r="E33" s="11">
        <f t="shared" si="0"/>
        <v>219.27</v>
      </c>
      <c r="F33" s="11">
        <f t="shared" si="0"/>
        <v>207.64</v>
      </c>
      <c r="G33" s="11">
        <f t="shared" si="0"/>
        <v>205.68</v>
      </c>
      <c r="H33" s="11">
        <f t="shared" si="0"/>
        <v>201.19</v>
      </c>
      <c r="I33" s="11">
        <f t="shared" si="0"/>
        <v>194.41</v>
      </c>
    </row>
    <row r="34" spans="1:9">
      <c r="A34" s="38" t="s">
        <v>24</v>
      </c>
      <c r="B34" s="133">
        <f t="shared" ref="B34:I34" si="1">MAX(B2:B31)</f>
        <v>242.8</v>
      </c>
      <c r="C34" s="133">
        <f t="shared" si="1"/>
        <v>240.64</v>
      </c>
      <c r="D34" s="133">
        <f t="shared" si="1"/>
        <v>282.46</v>
      </c>
      <c r="E34" s="133">
        <f t="shared" si="1"/>
        <v>237.91</v>
      </c>
      <c r="F34" s="133">
        <f t="shared" si="1"/>
        <v>233.1</v>
      </c>
      <c r="G34" s="133">
        <f t="shared" si="1"/>
        <v>225.6</v>
      </c>
      <c r="H34" s="133">
        <f t="shared" si="1"/>
        <v>219.76</v>
      </c>
      <c r="I34" s="11">
        <f t="shared" si="1"/>
        <v>220.35</v>
      </c>
    </row>
    <row r="35" spans="1:9">
      <c r="A35" s="38" t="s">
        <v>25</v>
      </c>
      <c r="B35" s="133">
        <v>226.666666666667</v>
      </c>
      <c r="C35" s="133">
        <f t="shared" ref="B35:I35" si="2">AVERAGE(C2:C31)</f>
        <v>223.295</v>
      </c>
      <c r="D35" s="133">
        <f t="shared" si="2"/>
        <v>245.008666666667</v>
      </c>
      <c r="E35" s="133">
        <f t="shared" si="2"/>
        <v>229.031</v>
      </c>
      <c r="F35" s="134">
        <f t="shared" si="2"/>
        <v>217.582</v>
      </c>
      <c r="G35" s="133">
        <f t="shared" si="2"/>
        <v>215.448333333333</v>
      </c>
      <c r="H35" s="133">
        <f t="shared" si="2"/>
        <v>211.008666666667</v>
      </c>
      <c r="I35" s="134">
        <f t="shared" si="2"/>
        <v>202.246333333333</v>
      </c>
    </row>
    <row r="36" spans="1:9">
      <c r="B36" s="136">
        <f t="shared" ref="B36:I36" si="3">(B35-B33)/B35</f>
        <v>0.059279411764706</v>
      </c>
      <c r="C36" s="136">
        <f t="shared" si="3"/>
        <v>0.0761996462079312</v>
      </c>
      <c r="D36" s="136">
        <f t="shared" si="3"/>
        <v>0.0733797171800724</v>
      </c>
      <c r="E36" s="136">
        <f t="shared" si="3"/>
        <v>0.0426186848068602</v>
      </c>
      <c r="F36" s="136">
        <f t="shared" si="3"/>
        <v>0.0456931179968933</v>
      </c>
      <c r="G36" s="136">
        <f t="shared" si="3"/>
        <v>0.045339563236352</v>
      </c>
      <c r="H36" s="136">
        <f t="shared" si="3"/>
        <v>0.046532053975666</v>
      </c>
      <c r="I36" s="136">
        <f t="shared" si="3"/>
        <v>0.0387464791285874</v>
      </c>
    </row>
    <row r="41" spans="1:9">
      <c r="B41" s="11" t="s">
        <v>26</v>
      </c>
      <c r="C41" s="11" t="s">
        <v>27</v>
      </c>
      <c r="D41" s="11" t="s">
        <v>28</v>
      </c>
      <c r="E41" s="11" t="s">
        <v>29</v>
      </c>
      <c r="F41" s="11" t="s">
        <v>30</v>
      </c>
      <c r="G41" s="11" t="s">
        <v>31</v>
      </c>
      <c r="H41" s="11" t="s">
        <v>32</v>
      </c>
      <c r="I41" s="12" t="s">
        <v>33</v>
      </c>
    </row>
    <row r="42" spans="1:9">
      <c r="A42" s="38">
        <v>1</v>
      </c>
      <c r="B42" s="133">
        <v>345.65</v>
      </c>
      <c r="C42" s="133">
        <v>334.3</v>
      </c>
      <c r="D42" s="137">
        <v>359.21</v>
      </c>
      <c r="E42" s="137">
        <v>353.26</v>
      </c>
      <c r="F42" s="138">
        <v>358.94</v>
      </c>
      <c r="G42" s="133">
        <v>358.81</v>
      </c>
      <c r="H42" s="133">
        <v>339.15</v>
      </c>
      <c r="I42" s="138">
        <v>321.11</v>
      </c>
    </row>
    <row r="43" spans="1:9">
      <c r="A43" s="38">
        <v>2</v>
      </c>
      <c r="B43" s="133">
        <v>361.4</v>
      </c>
      <c r="C43" s="133">
        <v>359.79</v>
      </c>
      <c r="D43" s="133">
        <v>360.97</v>
      </c>
      <c r="E43" s="133">
        <v>347.17</v>
      </c>
      <c r="F43" s="138">
        <v>351.61</v>
      </c>
      <c r="G43" s="133">
        <v>355.18</v>
      </c>
      <c r="H43" s="133">
        <v>340.9</v>
      </c>
      <c r="I43" s="138">
        <v>329.11</v>
      </c>
    </row>
    <row r="44" spans="1:9">
      <c r="A44" s="38">
        <v>3</v>
      </c>
      <c r="B44" s="133">
        <v>335.96</v>
      </c>
      <c r="C44" s="133">
        <v>355.9</v>
      </c>
      <c r="D44" s="133">
        <v>376.37</v>
      </c>
      <c r="E44" s="133">
        <v>369.56</v>
      </c>
      <c r="F44" s="138">
        <v>354.77</v>
      </c>
      <c r="G44" s="133">
        <v>352.17</v>
      </c>
      <c r="H44" s="133">
        <v>346.79</v>
      </c>
      <c r="I44" s="138">
        <v>340.99</v>
      </c>
    </row>
    <row r="45" spans="1:9">
      <c r="A45" s="38">
        <v>4</v>
      </c>
      <c r="B45" s="133">
        <v>338.4</v>
      </c>
      <c r="C45" s="133">
        <v>366.95</v>
      </c>
      <c r="D45" s="133">
        <v>360.39</v>
      </c>
      <c r="E45" s="133">
        <v>359.29</v>
      </c>
      <c r="F45" s="138">
        <v>335.23</v>
      </c>
      <c r="G45" s="133">
        <v>351.78</v>
      </c>
      <c r="H45" s="133">
        <v>341.5</v>
      </c>
      <c r="I45" s="138">
        <v>319.27</v>
      </c>
    </row>
    <row r="46" spans="1:9">
      <c r="A46" s="38">
        <v>5</v>
      </c>
      <c r="B46" s="139">
        <v>330.2</v>
      </c>
      <c r="C46" s="139">
        <v>360.3</v>
      </c>
      <c r="D46" s="133">
        <v>412.24</v>
      </c>
      <c r="E46" s="133">
        <v>377.2</v>
      </c>
      <c r="F46" s="138">
        <v>338.12</v>
      </c>
      <c r="G46" s="133">
        <v>354.14</v>
      </c>
      <c r="H46" s="133">
        <v>340.93</v>
      </c>
      <c r="I46" s="138">
        <v>327.65</v>
      </c>
    </row>
    <row r="47" spans="1:9">
      <c r="A47" s="38">
        <v>6</v>
      </c>
      <c r="B47" s="133">
        <v>363.24</v>
      </c>
      <c r="C47" s="133">
        <v>349.3</v>
      </c>
      <c r="D47" s="133">
        <v>363.13</v>
      </c>
      <c r="E47" s="133">
        <v>386.39</v>
      </c>
      <c r="F47" s="138">
        <v>367.49</v>
      </c>
      <c r="G47" s="133">
        <v>359.9</v>
      </c>
      <c r="H47" s="133">
        <v>332.1</v>
      </c>
      <c r="I47" s="138">
        <v>322.42</v>
      </c>
    </row>
    <row r="48" spans="1:9">
      <c r="A48" s="38">
        <v>7</v>
      </c>
      <c r="B48" s="133">
        <v>352.4</v>
      </c>
      <c r="C48" s="133">
        <v>365.8</v>
      </c>
      <c r="D48" s="133">
        <v>413.06</v>
      </c>
      <c r="E48" s="133">
        <v>343.57</v>
      </c>
      <c r="F48" s="138">
        <v>344.33</v>
      </c>
      <c r="G48" s="133">
        <v>359.43</v>
      </c>
      <c r="H48" s="133">
        <v>349.32</v>
      </c>
      <c r="I48" s="138">
        <v>331.67</v>
      </c>
    </row>
    <row r="49" spans="1:9">
      <c r="A49" s="38">
        <v>8</v>
      </c>
      <c r="B49" s="133">
        <v>343.64</v>
      </c>
      <c r="C49" s="133">
        <v>356.97</v>
      </c>
      <c r="D49" s="133">
        <v>403.3</v>
      </c>
      <c r="E49" s="133">
        <v>354.15</v>
      </c>
      <c r="F49" s="138">
        <v>371.73</v>
      </c>
      <c r="G49" s="133">
        <v>360.25</v>
      </c>
      <c r="H49" s="133">
        <v>332.42</v>
      </c>
      <c r="I49" s="138">
        <v>320.78</v>
      </c>
    </row>
    <row r="50" spans="1:9">
      <c r="A50" s="38">
        <v>9</v>
      </c>
      <c r="B50" s="139">
        <v>412.52</v>
      </c>
      <c r="C50" s="139">
        <v>351.66</v>
      </c>
      <c r="D50" s="133">
        <v>422.27</v>
      </c>
      <c r="E50" s="133">
        <v>352.56</v>
      </c>
      <c r="F50" s="138">
        <v>350.78</v>
      </c>
      <c r="G50" s="133">
        <v>345.15</v>
      </c>
      <c r="H50" s="133">
        <v>338.53</v>
      </c>
      <c r="I50" s="138">
        <v>310.17</v>
      </c>
    </row>
    <row r="51" spans="1:9">
      <c r="A51" s="38">
        <v>10</v>
      </c>
      <c r="B51" s="133">
        <v>407.19</v>
      </c>
      <c r="C51" s="133">
        <v>351.6</v>
      </c>
      <c r="D51" s="133">
        <v>438.21</v>
      </c>
      <c r="E51" s="133">
        <v>361.46</v>
      </c>
      <c r="F51" s="138">
        <v>339.09</v>
      </c>
      <c r="G51" s="133">
        <v>331.76</v>
      </c>
      <c r="H51" s="133">
        <v>340.81</v>
      </c>
      <c r="I51" s="138">
        <v>312.54</v>
      </c>
    </row>
    <row r="52" spans="1:9">
      <c r="A52" s="38">
        <v>11</v>
      </c>
      <c r="B52" s="133">
        <v>378.51</v>
      </c>
      <c r="C52" s="133">
        <v>420.75</v>
      </c>
      <c r="D52" s="137">
        <v>460.24</v>
      </c>
      <c r="E52" s="11">
        <v>333.52</v>
      </c>
      <c r="F52" s="138">
        <v>336.9</v>
      </c>
      <c r="G52" s="133">
        <v>359.53</v>
      </c>
      <c r="H52" s="133">
        <v>343.7</v>
      </c>
      <c r="I52" s="138">
        <v>332.22</v>
      </c>
    </row>
    <row r="53" spans="1:9">
      <c r="A53" s="38">
        <v>12</v>
      </c>
      <c r="B53" s="133">
        <v>363.42</v>
      </c>
      <c r="C53" s="133">
        <v>394.36</v>
      </c>
      <c r="D53" s="137">
        <v>423.52</v>
      </c>
      <c r="E53" s="137">
        <v>374.07</v>
      </c>
      <c r="F53" s="138">
        <v>348.22</v>
      </c>
      <c r="G53" s="133">
        <v>328.9</v>
      </c>
      <c r="H53" s="133">
        <v>329.5</v>
      </c>
      <c r="I53" s="138">
        <v>322.66</v>
      </c>
    </row>
    <row r="54" spans="1:9">
      <c r="A54" s="38">
        <v>13</v>
      </c>
      <c r="B54" s="133">
        <v>343.81</v>
      </c>
      <c r="C54" s="133">
        <v>336.65</v>
      </c>
      <c r="D54" s="133">
        <v>364.7</v>
      </c>
      <c r="E54" s="133">
        <v>367.57</v>
      </c>
      <c r="F54" s="138">
        <v>341.12</v>
      </c>
      <c r="G54" s="133">
        <v>339.23</v>
      </c>
      <c r="H54" s="133">
        <v>343.62</v>
      </c>
      <c r="I54" s="138">
        <v>338.06</v>
      </c>
    </row>
    <row r="55" spans="1:9">
      <c r="A55" s="38">
        <v>14</v>
      </c>
      <c r="B55" s="133">
        <v>367.78</v>
      </c>
      <c r="C55" s="133">
        <v>351.76</v>
      </c>
      <c r="D55" s="133">
        <v>374.07</v>
      </c>
      <c r="E55" s="133">
        <v>347.99</v>
      </c>
      <c r="F55" s="138">
        <v>343.73</v>
      </c>
      <c r="G55" s="133">
        <v>344.56</v>
      </c>
      <c r="H55" s="133">
        <v>340.87</v>
      </c>
      <c r="I55" s="138">
        <v>312.39</v>
      </c>
    </row>
    <row r="56" spans="1:9">
      <c r="A56" s="38">
        <v>15</v>
      </c>
      <c r="B56" s="133">
        <v>344.29</v>
      </c>
      <c r="C56" s="133">
        <v>376.18</v>
      </c>
      <c r="D56" s="133">
        <v>396.63</v>
      </c>
      <c r="E56" s="133">
        <v>378.03</v>
      </c>
      <c r="F56" s="138">
        <v>340.21</v>
      </c>
      <c r="G56" s="133">
        <v>336.24</v>
      </c>
      <c r="H56" s="133">
        <v>336.77</v>
      </c>
      <c r="I56" s="138">
        <v>311.42</v>
      </c>
    </row>
    <row r="57" spans="1:9">
      <c r="A57" s="38">
        <v>16</v>
      </c>
      <c r="B57" s="133">
        <v>359.4</v>
      </c>
      <c r="C57" s="133">
        <v>408.54</v>
      </c>
      <c r="D57" s="133">
        <v>360.76</v>
      </c>
      <c r="E57" s="133">
        <v>367.35</v>
      </c>
      <c r="F57" s="138">
        <v>349.61</v>
      </c>
      <c r="G57" s="133">
        <v>348.75</v>
      </c>
      <c r="H57" s="133">
        <v>335.21</v>
      </c>
      <c r="I57" s="138">
        <v>320.16</v>
      </c>
    </row>
    <row r="58" spans="1:9">
      <c r="A58" s="38">
        <v>17</v>
      </c>
      <c r="B58" s="133">
        <v>373.19</v>
      </c>
      <c r="C58" s="133">
        <v>363.91</v>
      </c>
      <c r="D58" s="133">
        <v>404.86</v>
      </c>
      <c r="E58" s="133">
        <v>375.4</v>
      </c>
      <c r="F58" s="138">
        <v>354.74</v>
      </c>
      <c r="G58" s="133">
        <v>341.33</v>
      </c>
      <c r="H58" s="133">
        <v>347.7</v>
      </c>
      <c r="I58" s="138">
        <v>324.34</v>
      </c>
    </row>
    <row r="59" spans="1:9">
      <c r="A59" s="38">
        <v>18</v>
      </c>
      <c r="B59" s="133">
        <v>404.45</v>
      </c>
      <c r="C59" s="133">
        <v>337.82</v>
      </c>
      <c r="D59" s="139">
        <v>380.73</v>
      </c>
      <c r="E59" s="139">
        <v>359.45</v>
      </c>
      <c r="F59" s="138">
        <v>351.44</v>
      </c>
      <c r="G59" s="139">
        <v>327.11</v>
      </c>
      <c r="H59" s="139">
        <v>339.56</v>
      </c>
      <c r="I59" s="138">
        <v>323.52</v>
      </c>
    </row>
    <row r="60" spans="1:9">
      <c r="A60" s="38">
        <v>19</v>
      </c>
      <c r="B60" s="133">
        <v>331.82</v>
      </c>
      <c r="C60" s="133">
        <v>340.1</v>
      </c>
      <c r="D60" s="133">
        <v>400.32</v>
      </c>
      <c r="E60" s="11">
        <v>398.69</v>
      </c>
      <c r="F60" s="138">
        <v>342.18</v>
      </c>
      <c r="G60" s="133">
        <v>335.97</v>
      </c>
      <c r="H60" s="133">
        <v>336</v>
      </c>
      <c r="I60" s="138">
        <v>317.82</v>
      </c>
    </row>
    <row r="61" spans="1:9">
      <c r="A61" s="38">
        <v>20</v>
      </c>
      <c r="B61" s="133">
        <v>335.2</v>
      </c>
      <c r="C61" s="133">
        <v>343.55</v>
      </c>
      <c r="D61" s="133">
        <v>360.5</v>
      </c>
      <c r="E61" s="133">
        <v>364.55</v>
      </c>
      <c r="F61" s="138">
        <v>347.04</v>
      </c>
      <c r="G61" s="133">
        <v>333.69</v>
      </c>
      <c r="H61" s="133">
        <v>341.5</v>
      </c>
      <c r="I61" s="138">
        <v>316.27</v>
      </c>
    </row>
    <row r="62" spans="1:9">
      <c r="A62" s="38">
        <v>21</v>
      </c>
      <c r="B62" s="133">
        <v>354.18</v>
      </c>
      <c r="C62" s="133">
        <v>346.46</v>
      </c>
      <c r="D62" s="133">
        <v>360.56</v>
      </c>
      <c r="E62" s="133">
        <v>336.26</v>
      </c>
      <c r="F62" s="138">
        <v>362.64</v>
      </c>
      <c r="G62" s="133">
        <v>334.46</v>
      </c>
      <c r="H62" s="133">
        <v>350</v>
      </c>
      <c r="I62" s="138">
        <v>320.36</v>
      </c>
    </row>
    <row r="63" spans="1:9">
      <c r="A63" s="38">
        <v>22</v>
      </c>
      <c r="B63" s="133">
        <v>338.6</v>
      </c>
      <c r="C63" s="133">
        <v>353</v>
      </c>
      <c r="D63" s="133">
        <v>394.1</v>
      </c>
      <c r="E63" s="133">
        <v>351.62</v>
      </c>
      <c r="F63" s="138">
        <v>353.86</v>
      </c>
      <c r="G63" s="133">
        <v>336</v>
      </c>
      <c r="H63" s="137">
        <v>362.3</v>
      </c>
      <c r="I63" s="138">
        <v>338.2</v>
      </c>
    </row>
    <row r="64" spans="1:9">
      <c r="A64" s="38">
        <v>23</v>
      </c>
      <c r="B64" s="133">
        <v>332.67</v>
      </c>
      <c r="C64" s="133">
        <v>364.46</v>
      </c>
      <c r="D64" s="133">
        <v>393.81</v>
      </c>
      <c r="E64" s="133">
        <v>384.6</v>
      </c>
      <c r="F64" s="138">
        <v>351.97</v>
      </c>
      <c r="G64" s="133">
        <v>359.01</v>
      </c>
      <c r="H64" s="133">
        <v>345.69</v>
      </c>
      <c r="I64" s="140">
        <v>344.19</v>
      </c>
    </row>
    <row r="65" spans="1:9">
      <c r="A65" s="38">
        <v>24</v>
      </c>
      <c r="B65" s="133">
        <v>352.6</v>
      </c>
      <c r="C65" s="133">
        <v>376.13</v>
      </c>
      <c r="D65" s="133">
        <v>406.2</v>
      </c>
      <c r="E65" s="133">
        <v>344.97</v>
      </c>
      <c r="F65" s="138">
        <v>340.03</v>
      </c>
      <c r="G65" s="133">
        <v>327.71</v>
      </c>
      <c r="H65" s="133">
        <v>342.33</v>
      </c>
      <c r="I65" s="138">
        <v>328.7</v>
      </c>
    </row>
    <row r="66" spans="1:9">
      <c r="A66" s="38">
        <v>25</v>
      </c>
      <c r="B66" s="133">
        <v>341.18</v>
      </c>
      <c r="C66" s="133">
        <v>345.8</v>
      </c>
      <c r="D66" s="133">
        <v>360.79</v>
      </c>
      <c r="E66" s="133">
        <v>350.67</v>
      </c>
      <c r="F66" s="138">
        <v>344.9</v>
      </c>
      <c r="G66" s="133">
        <v>334.05</v>
      </c>
      <c r="H66" s="133">
        <v>336.08</v>
      </c>
      <c r="I66" s="138">
        <v>322.53</v>
      </c>
    </row>
    <row r="67" spans="1:9">
      <c r="A67" s="38">
        <v>26</v>
      </c>
      <c r="B67" s="133">
        <v>350.43</v>
      </c>
      <c r="C67" s="133">
        <v>346.66</v>
      </c>
      <c r="D67" s="133">
        <v>387.97</v>
      </c>
      <c r="E67" s="133">
        <v>344.47</v>
      </c>
      <c r="F67" s="138">
        <v>345.38</v>
      </c>
      <c r="G67" s="133">
        <v>331.3</v>
      </c>
      <c r="H67" s="133">
        <v>328.2</v>
      </c>
      <c r="I67" s="138">
        <v>323.99</v>
      </c>
    </row>
    <row r="68" spans="1:9">
      <c r="A68" s="38">
        <v>27</v>
      </c>
      <c r="B68" s="133">
        <v>361.28</v>
      </c>
      <c r="C68" s="133">
        <v>384.26</v>
      </c>
      <c r="D68" s="133">
        <v>360.91</v>
      </c>
      <c r="E68" s="133">
        <v>384.99</v>
      </c>
      <c r="F68" s="138">
        <v>369.6</v>
      </c>
      <c r="G68" s="133">
        <v>346.41</v>
      </c>
      <c r="H68" s="133">
        <v>335.6</v>
      </c>
      <c r="I68" s="138">
        <v>322.97</v>
      </c>
    </row>
    <row r="69" spans="1:9">
      <c r="A69" s="38">
        <v>28</v>
      </c>
      <c r="B69" s="133">
        <v>330.7</v>
      </c>
      <c r="C69" s="133">
        <v>379.87</v>
      </c>
      <c r="D69" s="133">
        <v>382.24</v>
      </c>
      <c r="E69" s="133">
        <v>345.4</v>
      </c>
      <c r="F69" s="138">
        <v>343.19</v>
      </c>
      <c r="G69" s="133">
        <v>340.2</v>
      </c>
      <c r="H69" s="133">
        <v>340.26</v>
      </c>
      <c r="I69" s="138">
        <v>323.22</v>
      </c>
    </row>
    <row r="70" spans="1:9">
      <c r="A70" s="38">
        <v>29</v>
      </c>
      <c r="B70" s="133">
        <v>332</v>
      </c>
      <c r="C70" s="133">
        <v>358.7</v>
      </c>
      <c r="D70" s="133">
        <v>360.71</v>
      </c>
      <c r="E70" s="133">
        <v>352.2</v>
      </c>
      <c r="F70" s="138">
        <v>346.48</v>
      </c>
      <c r="G70" s="133">
        <v>331.53</v>
      </c>
      <c r="H70" s="133">
        <v>337.9</v>
      </c>
      <c r="I70" s="138">
        <v>325.2</v>
      </c>
    </row>
    <row r="71" spans="1:9">
      <c r="A71" s="38">
        <v>30</v>
      </c>
      <c r="B71" s="133">
        <v>343.63</v>
      </c>
      <c r="C71" s="133">
        <v>341.29</v>
      </c>
      <c r="D71" s="137">
        <v>411.25</v>
      </c>
      <c r="E71" s="137">
        <v>358.08</v>
      </c>
      <c r="F71" s="138">
        <v>348.33</v>
      </c>
      <c r="G71" s="133">
        <v>357.91</v>
      </c>
      <c r="H71" s="137">
        <v>323.58</v>
      </c>
      <c r="I71" s="138">
        <v>320.15</v>
      </c>
    </row>
    <row r="72" spans="1:9">
      <c r="B72" s="11"/>
      <c r="C72" s="11"/>
      <c r="D72" s="11"/>
      <c r="E72" s="11"/>
      <c r="F72" s="138"/>
      <c r="G72" s="11"/>
      <c r="H72" s="11"/>
      <c r="I72" s="138"/>
    </row>
    <row r="73" ht="15" spans="1:9">
      <c r="A73" s="133" t="s">
        <v>23</v>
      </c>
      <c r="B73" s="133">
        <f t="shared" ref="B73:I73" si="4">MIN(B42:B71)</f>
        <v>330.2</v>
      </c>
      <c r="C73" s="133">
        <f t="shared" si="4"/>
        <v>334.3</v>
      </c>
      <c r="D73" s="11">
        <f t="shared" si="4"/>
        <v>359.21</v>
      </c>
      <c r="E73" s="11">
        <f t="shared" si="4"/>
        <v>333.52</v>
      </c>
      <c r="F73" s="11">
        <f t="shared" si="4"/>
        <v>335.23</v>
      </c>
      <c r="G73" s="11">
        <f t="shared" si="4"/>
        <v>327.11</v>
      </c>
      <c r="H73" s="11">
        <f t="shared" si="4"/>
        <v>323.58</v>
      </c>
      <c r="I73" s="11">
        <f t="shared" si="4"/>
        <v>310.17</v>
      </c>
    </row>
    <row r="74" ht="15" spans="1:9">
      <c r="A74" s="133" t="s">
        <v>24</v>
      </c>
      <c r="B74" s="133">
        <f t="shared" ref="B74:I74" si="5">MAX(B42:B71)</f>
        <v>412.52</v>
      </c>
      <c r="C74" s="133">
        <f t="shared" si="5"/>
        <v>420.75</v>
      </c>
      <c r="D74" s="133">
        <f t="shared" si="5"/>
        <v>460.24</v>
      </c>
      <c r="E74" s="133">
        <f t="shared" si="5"/>
        <v>398.69</v>
      </c>
      <c r="F74" s="133">
        <f t="shared" si="5"/>
        <v>371.73</v>
      </c>
      <c r="G74" s="133">
        <f t="shared" si="5"/>
        <v>360.25</v>
      </c>
      <c r="H74" s="133">
        <f t="shared" si="5"/>
        <v>362.3</v>
      </c>
      <c r="I74" s="11">
        <f t="shared" si="5"/>
        <v>344.19</v>
      </c>
    </row>
    <row r="75" ht="15" spans="1:9">
      <c r="A75" s="133" t="s">
        <v>25</v>
      </c>
      <c r="B75" s="133">
        <f t="shared" ref="B75:I75" si="6">AVERAGE(B42:B71)</f>
        <v>354.324666666667</v>
      </c>
      <c r="C75" s="133">
        <f t="shared" si="6"/>
        <v>360.760666666667</v>
      </c>
      <c r="D75" s="133">
        <f t="shared" si="6"/>
        <v>388.467333333333</v>
      </c>
      <c r="E75" s="133">
        <f t="shared" si="6"/>
        <v>360.816333333333</v>
      </c>
      <c r="F75" s="134">
        <f t="shared" si="6"/>
        <v>349.122</v>
      </c>
      <c r="G75" s="133">
        <f t="shared" si="6"/>
        <v>344.082</v>
      </c>
      <c r="H75" s="133">
        <f t="shared" si="6"/>
        <v>339.960666666667</v>
      </c>
      <c r="I75" s="134">
        <f t="shared" si="6"/>
        <v>324.136</v>
      </c>
    </row>
    <row r="76" spans="1:9">
      <c r="B76" s="136">
        <f t="shared" ref="B76:I76" si="7">(B75-B73)/B75</f>
        <v>0.068086331368406</v>
      </c>
      <c r="C76" s="136">
        <f t="shared" si="7"/>
        <v>0.0733468726265429</v>
      </c>
      <c r="D76" s="136">
        <f t="shared" si="7"/>
        <v>0.0753147840830888</v>
      </c>
      <c r="E76" s="136">
        <f t="shared" si="7"/>
        <v>0.0756516011377902</v>
      </c>
      <c r="F76" s="136">
        <f t="shared" si="7"/>
        <v>0.039791247758663</v>
      </c>
      <c r="G76" s="136">
        <f t="shared" si="7"/>
        <v>0.0493254514912142</v>
      </c>
      <c r="H76" s="136">
        <f t="shared" si="7"/>
        <v>0.0481840056006481</v>
      </c>
      <c r="I76" s="136">
        <f t="shared" si="7"/>
        <v>0.0430868524323126</v>
      </c>
    </row>
    <row r="77" spans="1:9">
      <c r="I77" s="136"/>
    </row>
    <row r="81" spans="1:9">
      <c r="B81" s="11" t="s">
        <v>34</v>
      </c>
      <c r="C81" s="11" t="s">
        <v>35</v>
      </c>
      <c r="D81" s="11" t="s">
        <v>36</v>
      </c>
      <c r="E81" s="11" t="s">
        <v>37</v>
      </c>
      <c r="F81" s="11" t="s">
        <v>38</v>
      </c>
      <c r="G81" s="11" t="s">
        <v>39</v>
      </c>
      <c r="H81" s="11" t="s">
        <v>40</v>
      </c>
      <c r="I81" s="12" t="s">
        <v>41</v>
      </c>
    </row>
    <row r="82" spans="1:9">
      <c r="A82" s="38">
        <v>1</v>
      </c>
      <c r="B82" s="133">
        <v>558.79</v>
      </c>
      <c r="C82" s="133">
        <v>474.01</v>
      </c>
      <c r="D82" s="141">
        <v>595.41</v>
      </c>
      <c r="E82" s="141">
        <v>520.52</v>
      </c>
      <c r="F82" s="138">
        <v>448.44</v>
      </c>
      <c r="G82" s="141">
        <v>493.74</v>
      </c>
      <c r="H82" s="141">
        <v>508.99</v>
      </c>
      <c r="I82" s="138">
        <v>434.09</v>
      </c>
    </row>
    <row r="83" spans="1:9">
      <c r="A83" s="38">
        <v>2</v>
      </c>
      <c r="B83" s="133">
        <v>536.82</v>
      </c>
      <c r="C83" s="133">
        <v>472.92</v>
      </c>
      <c r="D83" s="141">
        <v>613.25</v>
      </c>
      <c r="E83" s="141">
        <v>471.43</v>
      </c>
      <c r="F83" s="138">
        <v>455.88</v>
      </c>
      <c r="G83" s="141">
        <v>451</v>
      </c>
      <c r="H83" s="141">
        <v>452.2</v>
      </c>
      <c r="I83" s="138">
        <v>452.1</v>
      </c>
    </row>
    <row r="84" spans="1:9">
      <c r="A84" s="38">
        <v>3</v>
      </c>
      <c r="B84" s="133">
        <v>466.38</v>
      </c>
      <c r="C84" s="133">
        <v>530.23</v>
      </c>
      <c r="D84" s="135">
        <v>525.87</v>
      </c>
      <c r="E84" s="141">
        <v>478.49</v>
      </c>
      <c r="F84" s="138">
        <v>487.16</v>
      </c>
      <c r="G84" s="141">
        <v>483.08</v>
      </c>
      <c r="H84" s="141">
        <v>443.8</v>
      </c>
      <c r="I84" s="138">
        <v>450.17</v>
      </c>
    </row>
    <row r="85" spans="1:9">
      <c r="A85" s="38">
        <v>4</v>
      </c>
      <c r="B85" s="133">
        <v>512.1</v>
      </c>
      <c r="C85" s="133">
        <v>534.23</v>
      </c>
      <c r="D85" s="141">
        <v>606.33</v>
      </c>
      <c r="E85" s="141">
        <v>485.07</v>
      </c>
      <c r="F85" s="138">
        <v>481.2</v>
      </c>
      <c r="G85" s="141">
        <v>437.21</v>
      </c>
      <c r="H85" s="141">
        <v>459.78</v>
      </c>
      <c r="I85" s="138">
        <v>427.78</v>
      </c>
    </row>
    <row r="86" spans="1:9">
      <c r="A86" s="38">
        <v>5</v>
      </c>
      <c r="B86" s="133">
        <v>462.38</v>
      </c>
      <c r="C86" s="133">
        <v>538.94</v>
      </c>
      <c r="D86" s="141">
        <v>531.54</v>
      </c>
      <c r="E86" s="141">
        <v>484.52</v>
      </c>
      <c r="F86" s="138">
        <v>482.29</v>
      </c>
      <c r="G86" s="141">
        <v>466.07</v>
      </c>
      <c r="H86" s="141">
        <v>458.4</v>
      </c>
      <c r="I86" s="138">
        <v>426.84</v>
      </c>
    </row>
    <row r="87" spans="1:9">
      <c r="A87" s="38">
        <v>6</v>
      </c>
      <c r="B87" s="133">
        <v>463.6</v>
      </c>
      <c r="C87" s="133">
        <v>452.45</v>
      </c>
      <c r="D87" s="141">
        <v>613.3</v>
      </c>
      <c r="E87" s="141">
        <v>492.83</v>
      </c>
      <c r="F87" s="138">
        <v>455.89</v>
      </c>
      <c r="G87" s="141">
        <v>458.76</v>
      </c>
      <c r="H87" s="141">
        <v>440.6</v>
      </c>
      <c r="I87" s="138">
        <v>430.99</v>
      </c>
    </row>
    <row r="88" spans="1:9">
      <c r="A88" s="38">
        <v>7</v>
      </c>
      <c r="B88" s="133">
        <v>493.01</v>
      </c>
      <c r="C88" s="133">
        <v>464.8</v>
      </c>
      <c r="D88" s="141">
        <v>601.46</v>
      </c>
      <c r="E88" s="141">
        <v>500.46</v>
      </c>
      <c r="F88" s="138">
        <v>468.11</v>
      </c>
      <c r="G88" s="141">
        <v>462.3</v>
      </c>
      <c r="H88" s="141">
        <v>493.81</v>
      </c>
      <c r="I88" s="138">
        <v>446.69</v>
      </c>
    </row>
    <row r="89" spans="1:9">
      <c r="A89" s="38">
        <v>8</v>
      </c>
      <c r="B89" s="133">
        <v>538.03</v>
      </c>
      <c r="C89" s="133">
        <v>454.98</v>
      </c>
      <c r="D89" s="141">
        <v>535.42</v>
      </c>
      <c r="E89" s="141">
        <v>493.65</v>
      </c>
      <c r="F89" s="138">
        <v>483.59</v>
      </c>
      <c r="G89" s="141">
        <v>455.02</v>
      </c>
      <c r="H89" s="141">
        <v>501.18</v>
      </c>
      <c r="I89" s="138">
        <v>473.52</v>
      </c>
    </row>
    <row r="90" spans="1:9">
      <c r="A90" s="38">
        <v>9</v>
      </c>
      <c r="B90" s="133">
        <v>467.72</v>
      </c>
      <c r="C90" s="133">
        <v>479.6</v>
      </c>
      <c r="D90" s="141">
        <v>537.97</v>
      </c>
      <c r="E90" s="141">
        <v>479.59</v>
      </c>
      <c r="F90" s="138">
        <v>486.96</v>
      </c>
      <c r="G90" s="141">
        <v>438.66</v>
      </c>
      <c r="H90" s="141">
        <v>443.02</v>
      </c>
      <c r="I90" s="138">
        <v>452.04</v>
      </c>
    </row>
    <row r="91" spans="1:9">
      <c r="A91" s="38">
        <v>10</v>
      </c>
      <c r="B91" s="133">
        <v>526.11</v>
      </c>
      <c r="C91" s="133">
        <v>462.18</v>
      </c>
      <c r="D91" s="141">
        <v>597.68</v>
      </c>
      <c r="E91" s="141">
        <v>538.94</v>
      </c>
      <c r="F91" s="138">
        <v>472.28</v>
      </c>
      <c r="G91" s="141">
        <v>454.2</v>
      </c>
      <c r="H91" s="141">
        <v>478.3</v>
      </c>
      <c r="I91" s="138">
        <v>451.41</v>
      </c>
    </row>
    <row r="92" spans="1:9">
      <c r="A92" s="38">
        <v>11</v>
      </c>
      <c r="B92" s="133">
        <v>454.6</v>
      </c>
      <c r="C92" s="133">
        <v>499.46</v>
      </c>
      <c r="D92" s="141">
        <v>556.19</v>
      </c>
      <c r="E92" s="141">
        <v>522.98</v>
      </c>
      <c r="F92" s="138">
        <v>448.44</v>
      </c>
      <c r="G92" s="141">
        <v>468.2</v>
      </c>
      <c r="H92" s="141">
        <v>509.12</v>
      </c>
      <c r="I92" s="138">
        <v>436.68</v>
      </c>
    </row>
    <row r="93" spans="1:9">
      <c r="A93" s="38">
        <v>12</v>
      </c>
      <c r="B93" s="133">
        <v>463.43</v>
      </c>
      <c r="C93" s="133">
        <v>457.98</v>
      </c>
      <c r="D93" s="141">
        <v>603.16</v>
      </c>
      <c r="E93" s="141">
        <v>542.51</v>
      </c>
      <c r="F93" s="138">
        <v>471.47</v>
      </c>
      <c r="G93" s="141">
        <v>459.34</v>
      </c>
      <c r="H93" s="141">
        <v>456.9</v>
      </c>
      <c r="I93" s="138">
        <v>432.84</v>
      </c>
    </row>
    <row r="94" spans="1:9">
      <c r="A94" s="38">
        <v>13</v>
      </c>
      <c r="B94" s="133">
        <v>479.85</v>
      </c>
      <c r="C94" s="133">
        <v>466.64</v>
      </c>
      <c r="D94" s="141">
        <v>547.02</v>
      </c>
      <c r="E94" s="141">
        <v>488.78</v>
      </c>
      <c r="F94" s="138">
        <v>448.44</v>
      </c>
      <c r="G94" s="141">
        <v>439.91</v>
      </c>
      <c r="H94" s="141">
        <v>476.1</v>
      </c>
      <c r="I94" s="138">
        <v>432.29</v>
      </c>
    </row>
    <row r="95" spans="1:9">
      <c r="A95" s="38">
        <v>14</v>
      </c>
      <c r="B95" s="133">
        <v>501.95</v>
      </c>
      <c r="C95" s="133">
        <v>451.6</v>
      </c>
      <c r="D95" s="141">
        <v>533.8</v>
      </c>
      <c r="E95" s="141">
        <v>516.52</v>
      </c>
      <c r="F95" s="138">
        <v>457.8</v>
      </c>
      <c r="G95" s="141">
        <v>443.71</v>
      </c>
      <c r="H95" s="141">
        <v>454.6</v>
      </c>
      <c r="I95" s="138">
        <v>442.96</v>
      </c>
    </row>
    <row r="96" spans="1:9">
      <c r="A96" s="38">
        <v>15</v>
      </c>
      <c r="B96" s="133">
        <v>479.6</v>
      </c>
      <c r="C96" s="133">
        <v>471.37</v>
      </c>
      <c r="D96" s="141">
        <v>625</v>
      </c>
      <c r="E96" s="141">
        <v>526.98</v>
      </c>
      <c r="F96" s="138">
        <v>472.2</v>
      </c>
      <c r="G96" s="141">
        <v>463.63</v>
      </c>
      <c r="H96" s="141">
        <v>463.38</v>
      </c>
      <c r="I96" s="138">
        <v>451.89</v>
      </c>
    </row>
    <row r="97" spans="1:9">
      <c r="A97" s="38">
        <v>16</v>
      </c>
      <c r="B97" s="133">
        <v>509.25</v>
      </c>
      <c r="C97" s="133">
        <v>516.2</v>
      </c>
      <c r="D97" s="141">
        <v>560.46</v>
      </c>
      <c r="E97" s="141">
        <v>474.23</v>
      </c>
      <c r="F97" s="138">
        <v>486.97</v>
      </c>
      <c r="G97" s="141">
        <v>446.42</v>
      </c>
      <c r="H97" s="141">
        <v>489.05</v>
      </c>
      <c r="I97" s="138">
        <v>450.38</v>
      </c>
    </row>
    <row r="98" spans="1:9">
      <c r="A98" s="38">
        <v>17</v>
      </c>
      <c r="B98" s="133">
        <v>545.74</v>
      </c>
      <c r="C98" s="133">
        <v>471.9</v>
      </c>
      <c r="D98" s="141">
        <v>611.14</v>
      </c>
      <c r="E98" s="141">
        <v>509.93</v>
      </c>
      <c r="F98" s="138">
        <v>480.17</v>
      </c>
      <c r="G98" s="141">
        <v>447.83</v>
      </c>
      <c r="H98" s="141">
        <v>453.21</v>
      </c>
      <c r="I98" s="138">
        <v>451.96</v>
      </c>
    </row>
    <row r="99" spans="1:9">
      <c r="A99" s="38">
        <v>18</v>
      </c>
      <c r="B99" s="133">
        <v>463.42</v>
      </c>
      <c r="C99" s="133">
        <v>464.92</v>
      </c>
      <c r="D99" s="141">
        <v>559.44</v>
      </c>
      <c r="E99" s="141">
        <v>509.07</v>
      </c>
      <c r="F99" s="138">
        <v>462.1</v>
      </c>
      <c r="G99" s="141">
        <v>452.7</v>
      </c>
      <c r="H99" s="141">
        <v>448.39</v>
      </c>
      <c r="I99" s="138">
        <v>483.31</v>
      </c>
    </row>
    <row r="100" spans="1:9">
      <c r="A100" s="38">
        <v>19</v>
      </c>
      <c r="B100" s="133">
        <v>472</v>
      </c>
      <c r="C100" s="133">
        <v>479.53</v>
      </c>
      <c r="D100" s="141">
        <v>533.26</v>
      </c>
      <c r="E100" s="141">
        <v>534.66</v>
      </c>
      <c r="F100" s="138">
        <v>477.17</v>
      </c>
      <c r="G100" s="141">
        <v>442.31</v>
      </c>
      <c r="H100" s="141">
        <v>465.8</v>
      </c>
      <c r="I100" s="138">
        <v>464.86</v>
      </c>
    </row>
    <row r="101" spans="1:9">
      <c r="A101" s="38">
        <v>20</v>
      </c>
      <c r="B101" s="133">
        <v>469.8</v>
      </c>
      <c r="C101" s="133">
        <v>505.16</v>
      </c>
      <c r="D101" s="141">
        <v>612.07</v>
      </c>
      <c r="E101" s="141">
        <v>480.2</v>
      </c>
      <c r="F101" s="138">
        <v>458.36</v>
      </c>
      <c r="G101" s="141">
        <v>456.02</v>
      </c>
      <c r="H101" s="141">
        <v>466.93</v>
      </c>
      <c r="I101" s="138">
        <v>442.25</v>
      </c>
    </row>
    <row r="102" spans="1:9">
      <c r="A102" s="38">
        <v>21</v>
      </c>
      <c r="B102" s="133">
        <v>504.16</v>
      </c>
      <c r="C102" s="11">
        <v>450.35</v>
      </c>
      <c r="D102" s="141">
        <v>546.7</v>
      </c>
      <c r="E102" s="141">
        <v>488.54</v>
      </c>
      <c r="F102" s="138">
        <v>489.08</v>
      </c>
      <c r="G102" s="141">
        <v>491.06</v>
      </c>
      <c r="H102" s="141">
        <v>503.79</v>
      </c>
      <c r="I102" s="138">
        <v>430.14</v>
      </c>
    </row>
    <row r="103" spans="1:9">
      <c r="A103" s="38">
        <v>22</v>
      </c>
      <c r="B103" s="133">
        <v>504.58</v>
      </c>
      <c r="C103" s="133">
        <v>513.65</v>
      </c>
      <c r="D103" s="141">
        <v>581.89</v>
      </c>
      <c r="E103" s="141">
        <v>533.04</v>
      </c>
      <c r="F103" s="138">
        <v>489.98</v>
      </c>
      <c r="G103" s="141">
        <v>463.6</v>
      </c>
      <c r="H103" s="141">
        <v>452.01</v>
      </c>
      <c r="I103" s="138">
        <v>466.87</v>
      </c>
    </row>
    <row r="104" spans="1:9">
      <c r="A104" s="38">
        <v>23</v>
      </c>
      <c r="B104" s="133">
        <v>461.58</v>
      </c>
      <c r="C104" s="133">
        <v>501.6</v>
      </c>
      <c r="D104" s="141">
        <v>623.31</v>
      </c>
      <c r="E104" s="141">
        <v>537.2</v>
      </c>
      <c r="F104" s="138">
        <v>483.12</v>
      </c>
      <c r="G104" s="141">
        <v>438.32</v>
      </c>
      <c r="H104" s="141">
        <v>468.4</v>
      </c>
      <c r="I104" s="138">
        <v>452.12</v>
      </c>
    </row>
    <row r="105" spans="1:9">
      <c r="A105" s="38">
        <v>24</v>
      </c>
      <c r="B105" s="133">
        <v>512.21</v>
      </c>
      <c r="C105" s="133">
        <v>452.32</v>
      </c>
      <c r="D105" s="141">
        <v>620.39</v>
      </c>
      <c r="E105" s="141">
        <v>490.68</v>
      </c>
      <c r="F105" s="138">
        <v>456.8</v>
      </c>
      <c r="G105" s="141">
        <v>460.98</v>
      </c>
      <c r="H105" s="141">
        <v>478.16</v>
      </c>
      <c r="I105" s="138">
        <v>456</v>
      </c>
    </row>
    <row r="106" spans="1:9">
      <c r="A106" s="38">
        <v>25</v>
      </c>
      <c r="B106" s="133">
        <v>492.76</v>
      </c>
      <c r="C106" s="133">
        <v>459.09</v>
      </c>
      <c r="D106" s="141">
        <v>562.7</v>
      </c>
      <c r="E106" s="141">
        <v>526.05</v>
      </c>
      <c r="F106" s="138">
        <v>460.45</v>
      </c>
      <c r="G106" s="141">
        <v>485.44</v>
      </c>
      <c r="H106" s="141">
        <v>506.37</v>
      </c>
      <c r="I106" s="138">
        <v>454.95</v>
      </c>
    </row>
    <row r="107" spans="1:9">
      <c r="A107" s="38">
        <v>26</v>
      </c>
      <c r="B107" s="133">
        <v>508.62</v>
      </c>
      <c r="C107" s="133">
        <v>504.13</v>
      </c>
      <c r="D107" s="141">
        <v>550.4</v>
      </c>
      <c r="E107" s="141">
        <v>539.56</v>
      </c>
      <c r="F107" s="138">
        <v>448.92</v>
      </c>
      <c r="G107" s="141">
        <v>506.77</v>
      </c>
      <c r="H107" s="141">
        <v>471.7</v>
      </c>
      <c r="I107" s="138">
        <v>467.04</v>
      </c>
    </row>
    <row r="108" spans="1:9">
      <c r="A108" s="38">
        <v>27</v>
      </c>
      <c r="B108" s="133">
        <v>466.51</v>
      </c>
      <c r="C108" s="11">
        <v>545.22</v>
      </c>
      <c r="D108" s="135">
        <v>651.23</v>
      </c>
      <c r="E108" s="141">
        <v>471.5</v>
      </c>
      <c r="F108" s="138">
        <v>478.7</v>
      </c>
      <c r="G108" s="141">
        <v>476.7</v>
      </c>
      <c r="H108" s="141">
        <v>454.24</v>
      </c>
      <c r="I108" s="138">
        <v>435.93</v>
      </c>
    </row>
    <row r="109" spans="1:9">
      <c r="A109" s="38">
        <v>28</v>
      </c>
      <c r="B109" s="133">
        <v>487.86</v>
      </c>
      <c r="C109" s="133">
        <v>456.64</v>
      </c>
      <c r="D109" s="141">
        <v>629.44</v>
      </c>
      <c r="E109" s="141">
        <v>474.75</v>
      </c>
      <c r="F109" s="138">
        <v>474.15</v>
      </c>
      <c r="G109" s="141">
        <v>491.08</v>
      </c>
      <c r="H109" s="141">
        <v>445.54</v>
      </c>
      <c r="I109" s="138">
        <v>450.61</v>
      </c>
    </row>
    <row r="110" spans="1:9">
      <c r="A110" s="38">
        <v>29</v>
      </c>
      <c r="B110" s="133">
        <v>479.84</v>
      </c>
      <c r="C110" s="133">
        <v>470.1</v>
      </c>
      <c r="D110" s="141">
        <v>578.7</v>
      </c>
      <c r="E110" s="141">
        <v>517.42</v>
      </c>
      <c r="F110" s="138">
        <v>485.86</v>
      </c>
      <c r="G110" s="141">
        <v>479.07</v>
      </c>
      <c r="H110" s="141">
        <v>451.11</v>
      </c>
      <c r="I110" s="138">
        <v>439.06</v>
      </c>
    </row>
    <row r="111" spans="1:9">
      <c r="A111" s="38">
        <v>30</v>
      </c>
      <c r="B111" s="133">
        <v>482.63</v>
      </c>
      <c r="C111" s="133">
        <v>464.7</v>
      </c>
      <c r="D111" s="141">
        <v>566.41</v>
      </c>
      <c r="E111" s="141">
        <v>541.28</v>
      </c>
      <c r="F111" s="138">
        <v>503.82</v>
      </c>
      <c r="G111" s="141">
        <v>442.33</v>
      </c>
      <c r="H111" s="141">
        <v>461.14</v>
      </c>
      <c r="I111" s="138">
        <v>480.31</v>
      </c>
    </row>
    <row r="112" spans="1:9">
      <c r="B112" s="12"/>
      <c r="C112" s="12"/>
      <c r="D112" s="12"/>
      <c r="E112" s="12"/>
      <c r="F112" s="12"/>
      <c r="G112" s="12"/>
      <c r="H112" s="12"/>
      <c r="I112" s="12"/>
    </row>
    <row r="113" spans="1:9">
      <c r="A113" s="38" t="s">
        <v>23</v>
      </c>
      <c r="B113" s="133">
        <f>MIN(B82:B111)</f>
        <v>454.6</v>
      </c>
      <c r="C113" s="133">
        <f>MIN(C82:C111)</f>
        <v>450.35</v>
      </c>
      <c r="D113" s="11">
        <f>MIN(D82:D111)</f>
        <v>525.87</v>
      </c>
      <c r="E113" s="11">
        <f>MIN(E82:E111)</f>
        <v>471.43</v>
      </c>
      <c r="F113" s="11">
        <v>448.44</v>
      </c>
      <c r="G113" s="11">
        <f>MIN(G82:G111)</f>
        <v>437.21</v>
      </c>
      <c r="H113" s="11">
        <f>MIN(H82:H111)</f>
        <v>440.6</v>
      </c>
      <c r="I113" s="11">
        <f>MIN(I82:I111)</f>
        <v>426.84</v>
      </c>
    </row>
    <row r="114" s="131" customFormat="1" spans="1:9">
      <c r="A114" s="82" t="s">
        <v>24</v>
      </c>
      <c r="B114" s="133">
        <f t="shared" ref="B114:I114" si="8">MAX(B82:B111)</f>
        <v>558.79</v>
      </c>
      <c r="C114" s="133">
        <f t="shared" si="8"/>
        <v>545.22</v>
      </c>
      <c r="D114" s="133">
        <f t="shared" si="8"/>
        <v>651.23</v>
      </c>
      <c r="E114" s="133">
        <f t="shared" si="8"/>
        <v>542.51</v>
      </c>
      <c r="F114" s="133">
        <f t="shared" si="8"/>
        <v>503.82</v>
      </c>
      <c r="G114" s="133">
        <f t="shared" si="8"/>
        <v>506.77</v>
      </c>
      <c r="H114" s="133">
        <f t="shared" si="8"/>
        <v>509.12</v>
      </c>
      <c r="I114" s="11">
        <f t="shared" si="8"/>
        <v>483.31</v>
      </c>
    </row>
    <row r="115" s="131" customFormat="1" spans="1:9">
      <c r="A115" s="82" t="s">
        <v>25</v>
      </c>
      <c r="B115" s="133">
        <f t="shared" ref="B115:I115" si="9">AVERAGE(B82:B111)</f>
        <v>492.177666666667</v>
      </c>
      <c r="C115" s="133">
        <f t="shared" si="9"/>
        <v>482.23</v>
      </c>
      <c r="D115" s="133">
        <f t="shared" si="9"/>
        <v>580.364666666667</v>
      </c>
      <c r="E115" s="133">
        <f t="shared" si="9"/>
        <v>505.712666666667</v>
      </c>
      <c r="F115" s="133">
        <f t="shared" si="9"/>
        <v>471.86</v>
      </c>
      <c r="G115" s="133">
        <f t="shared" si="9"/>
        <v>461.848666666667</v>
      </c>
      <c r="H115" s="133">
        <f t="shared" si="9"/>
        <v>468.534</v>
      </c>
      <c r="I115" s="134">
        <f t="shared" si="9"/>
        <v>448.936</v>
      </c>
    </row>
    <row r="116" s="131" customFormat="1" spans="1:9">
      <c r="A116" s="142"/>
      <c r="B116" s="136">
        <f t="shared" ref="B116:I116" si="10">(B115-B113)/B115</f>
        <v>0.0763498005124166</v>
      </c>
      <c r="C116" s="136">
        <f t="shared" si="10"/>
        <v>0.0661095327955541</v>
      </c>
      <c r="D116" s="136">
        <f t="shared" si="10"/>
        <v>0.0938972852700657</v>
      </c>
      <c r="E116" s="136">
        <f t="shared" si="10"/>
        <v>0.0677908008368387</v>
      </c>
      <c r="F116" s="136">
        <f t="shared" si="10"/>
        <v>0.0496333658288476</v>
      </c>
      <c r="G116" s="136">
        <f t="shared" si="10"/>
        <v>0.0533479220466157</v>
      </c>
      <c r="H116" s="136">
        <f t="shared" si="10"/>
        <v>0.0596200062322052</v>
      </c>
      <c r="I116" s="136">
        <f t="shared" si="10"/>
        <v>0.0492185968601318</v>
      </c>
    </row>
    <row r="117" spans="1:9">
      <c r="A117" s="143"/>
      <c r="B117" s="144"/>
      <c r="C117" s="144"/>
      <c r="D117" s="144"/>
      <c r="E117" s="144"/>
      <c r="F117" s="144"/>
      <c r="G117" s="144"/>
      <c r="H117" s="144"/>
      <c r="I117" s="134"/>
    </row>
    <row r="121" spans="1:9">
      <c r="B121" s="11" t="s">
        <v>42</v>
      </c>
      <c r="C121" s="11" t="s">
        <v>43</v>
      </c>
      <c r="D121" s="11" t="s">
        <v>44</v>
      </c>
      <c r="E121" s="11" t="s">
        <v>45</v>
      </c>
      <c r="F121" s="11" t="s">
        <v>46</v>
      </c>
      <c r="G121" s="11" t="s">
        <v>47</v>
      </c>
      <c r="H121" s="11" t="s">
        <v>48</v>
      </c>
      <c r="I121" s="12" t="s">
        <v>49</v>
      </c>
    </row>
    <row r="122" spans="1:9">
      <c r="A122" s="38">
        <v>1</v>
      </c>
      <c r="B122" s="141">
        <v>682.4</v>
      </c>
      <c r="C122" s="133">
        <v>695.07</v>
      </c>
      <c r="D122" s="133">
        <v>790.36</v>
      </c>
      <c r="E122" s="133">
        <v>713.37</v>
      </c>
      <c r="F122" s="134">
        <v>682.19</v>
      </c>
      <c r="G122" s="141">
        <v>664.3</v>
      </c>
      <c r="H122" s="141">
        <v>676.6</v>
      </c>
      <c r="I122" s="141">
        <v>640.5</v>
      </c>
    </row>
    <row r="123" spans="1:9">
      <c r="A123" s="38">
        <v>2</v>
      </c>
      <c r="B123" s="141">
        <v>680</v>
      </c>
      <c r="C123" s="133">
        <v>693.53</v>
      </c>
      <c r="D123" s="133">
        <v>722.84</v>
      </c>
      <c r="E123" s="133">
        <v>700.8</v>
      </c>
      <c r="F123" s="134">
        <v>671.66</v>
      </c>
      <c r="G123" s="141">
        <v>667.99</v>
      </c>
      <c r="H123" s="141">
        <v>660.99</v>
      </c>
      <c r="I123" s="141">
        <v>620.26</v>
      </c>
    </row>
    <row r="124" spans="1:9">
      <c r="A124" s="38">
        <v>3</v>
      </c>
      <c r="B124" s="141">
        <v>703.26</v>
      </c>
      <c r="C124" s="133">
        <v>704.29</v>
      </c>
      <c r="D124" s="11">
        <v>738.2</v>
      </c>
      <c r="E124" s="11">
        <v>737.79</v>
      </c>
      <c r="F124" s="134">
        <v>685.64</v>
      </c>
      <c r="G124" s="141">
        <v>664.2</v>
      </c>
      <c r="H124" s="141">
        <v>651.91</v>
      </c>
      <c r="I124" s="141">
        <v>629.53</v>
      </c>
    </row>
    <row r="125" spans="1:9">
      <c r="A125" s="38">
        <v>4</v>
      </c>
      <c r="B125" s="141">
        <v>672.56</v>
      </c>
      <c r="C125" s="133">
        <v>739.04</v>
      </c>
      <c r="D125" s="133">
        <v>819.33</v>
      </c>
      <c r="E125" s="133">
        <v>702.47</v>
      </c>
      <c r="F125" s="134">
        <v>688.98</v>
      </c>
      <c r="G125" s="141">
        <v>669.27</v>
      </c>
      <c r="H125" s="141">
        <v>669.83</v>
      </c>
      <c r="I125" s="141">
        <v>632.1</v>
      </c>
    </row>
    <row r="126" spans="1:9">
      <c r="A126" s="38">
        <v>5</v>
      </c>
      <c r="B126" s="141">
        <v>732.98</v>
      </c>
      <c r="C126" s="133">
        <v>699.79</v>
      </c>
      <c r="D126" s="133">
        <v>817.88</v>
      </c>
      <c r="E126" s="133">
        <v>733.52</v>
      </c>
      <c r="F126" s="134">
        <v>709.7</v>
      </c>
      <c r="G126" s="141">
        <v>656.32</v>
      </c>
      <c r="H126" s="141">
        <v>677.2</v>
      </c>
      <c r="I126" s="141">
        <v>622.15</v>
      </c>
    </row>
    <row r="127" spans="1:9">
      <c r="A127" s="38">
        <v>6</v>
      </c>
      <c r="B127" s="141">
        <v>685.99</v>
      </c>
      <c r="C127" s="133">
        <v>724.7</v>
      </c>
      <c r="D127" s="133">
        <v>816.28</v>
      </c>
      <c r="E127" s="133">
        <v>706.22</v>
      </c>
      <c r="F127" s="134">
        <v>674.75</v>
      </c>
      <c r="G127" s="141">
        <v>671.3</v>
      </c>
      <c r="H127" s="141">
        <v>683.28</v>
      </c>
      <c r="I127" s="141">
        <v>642.83</v>
      </c>
    </row>
    <row r="128" spans="1:9">
      <c r="A128" s="38">
        <v>7</v>
      </c>
      <c r="B128" s="141">
        <v>729.26</v>
      </c>
      <c r="C128" s="133">
        <v>718.5</v>
      </c>
      <c r="D128" s="133">
        <v>717.98</v>
      </c>
      <c r="E128" s="133">
        <v>711.2</v>
      </c>
      <c r="F128" s="134">
        <v>672.84</v>
      </c>
      <c r="G128" s="141">
        <v>653.25</v>
      </c>
      <c r="H128" s="141">
        <v>667.29</v>
      </c>
      <c r="I128" s="141">
        <v>634.69</v>
      </c>
    </row>
    <row r="129" spans="1:9">
      <c r="A129" s="38">
        <v>8</v>
      </c>
      <c r="B129" s="141">
        <v>689.57</v>
      </c>
      <c r="C129" s="133">
        <v>665.41</v>
      </c>
      <c r="D129" s="133">
        <v>717.25</v>
      </c>
      <c r="E129" s="133">
        <v>731.91</v>
      </c>
      <c r="F129" s="134">
        <v>671.48</v>
      </c>
      <c r="G129" s="141">
        <v>659.35</v>
      </c>
      <c r="H129" s="141">
        <v>658.62</v>
      </c>
      <c r="I129" s="141">
        <v>630.75</v>
      </c>
    </row>
    <row r="130" spans="1:9">
      <c r="A130" s="38">
        <v>9</v>
      </c>
      <c r="B130" s="141">
        <v>774.06</v>
      </c>
      <c r="C130" s="133">
        <v>726.36</v>
      </c>
      <c r="D130" s="133">
        <v>771.42</v>
      </c>
      <c r="E130" s="133">
        <v>748.8</v>
      </c>
      <c r="F130" s="134">
        <v>703.67</v>
      </c>
      <c r="G130" s="141">
        <v>667.17</v>
      </c>
      <c r="H130" s="141">
        <v>706.14</v>
      </c>
      <c r="I130" s="141">
        <v>628.63</v>
      </c>
    </row>
    <row r="131" spans="1:9">
      <c r="A131" s="38">
        <v>10</v>
      </c>
      <c r="B131" s="141">
        <v>748.44</v>
      </c>
      <c r="C131" s="133">
        <v>696.59</v>
      </c>
      <c r="D131" s="133">
        <v>807.83</v>
      </c>
      <c r="E131" s="133">
        <v>724.3</v>
      </c>
      <c r="F131" s="134">
        <v>674.84</v>
      </c>
      <c r="G131" s="141">
        <v>673.2</v>
      </c>
      <c r="H131" s="141">
        <v>686.48</v>
      </c>
      <c r="I131" s="141">
        <v>631.63</v>
      </c>
    </row>
    <row r="132" spans="1:9">
      <c r="A132" s="38">
        <v>11</v>
      </c>
      <c r="B132" s="141">
        <v>758.6</v>
      </c>
      <c r="C132" s="133">
        <v>694.28</v>
      </c>
      <c r="D132" s="133">
        <v>791.59</v>
      </c>
      <c r="E132" s="133">
        <v>748.28</v>
      </c>
      <c r="F132" s="134">
        <v>699.27</v>
      </c>
      <c r="G132" s="141">
        <v>672.75</v>
      </c>
      <c r="H132" s="141">
        <v>668.27</v>
      </c>
      <c r="I132" s="141">
        <v>620.29</v>
      </c>
    </row>
    <row r="133" spans="1:9">
      <c r="A133" s="38">
        <v>12</v>
      </c>
      <c r="B133" s="141">
        <v>747.41</v>
      </c>
      <c r="C133" s="133">
        <v>706.8</v>
      </c>
      <c r="D133" s="133">
        <v>774.81</v>
      </c>
      <c r="E133" s="133">
        <v>706.54</v>
      </c>
      <c r="F133" s="134">
        <v>669.95</v>
      </c>
      <c r="G133" s="141">
        <v>669.44</v>
      </c>
      <c r="H133" s="141">
        <v>679.31</v>
      </c>
      <c r="I133" s="141">
        <v>630.12</v>
      </c>
    </row>
    <row r="134" spans="1:9">
      <c r="A134" s="38">
        <v>13</v>
      </c>
      <c r="B134" s="141">
        <v>743</v>
      </c>
      <c r="C134" s="133">
        <v>663.88</v>
      </c>
      <c r="D134" s="133">
        <v>731.21</v>
      </c>
      <c r="E134" s="133">
        <v>736.83</v>
      </c>
      <c r="F134" s="134">
        <v>697.24</v>
      </c>
      <c r="G134" s="141">
        <v>672.84</v>
      </c>
      <c r="H134" s="141">
        <v>667.26</v>
      </c>
      <c r="I134" s="141">
        <v>650.44</v>
      </c>
    </row>
    <row r="135" spans="1:9">
      <c r="A135" s="38">
        <v>14</v>
      </c>
      <c r="B135" s="141">
        <v>697.57</v>
      </c>
      <c r="C135" s="133">
        <v>735.63</v>
      </c>
      <c r="D135" s="133">
        <v>716.84</v>
      </c>
      <c r="E135" s="133">
        <v>740.9</v>
      </c>
      <c r="F135" s="134">
        <v>692.74</v>
      </c>
      <c r="G135" s="141">
        <v>669.3</v>
      </c>
      <c r="H135" s="141">
        <v>676.18</v>
      </c>
      <c r="I135" s="141">
        <v>633.31</v>
      </c>
    </row>
    <row r="136" spans="1:9">
      <c r="A136" s="38">
        <v>15</v>
      </c>
      <c r="B136" s="141">
        <v>727.6</v>
      </c>
      <c r="C136" s="133">
        <v>654.35</v>
      </c>
      <c r="D136" s="133">
        <v>801.65</v>
      </c>
      <c r="E136" s="133">
        <v>744.32</v>
      </c>
      <c r="F136" s="134">
        <v>669.68</v>
      </c>
      <c r="G136" s="141">
        <v>670.8</v>
      </c>
      <c r="H136" s="141">
        <v>682.63</v>
      </c>
      <c r="I136" s="141">
        <v>634.4</v>
      </c>
    </row>
    <row r="137" spans="1:9">
      <c r="A137" s="38">
        <v>16</v>
      </c>
      <c r="B137" s="141">
        <v>743.43</v>
      </c>
      <c r="C137" s="133">
        <v>656.22</v>
      </c>
      <c r="D137" s="133">
        <v>780.2</v>
      </c>
      <c r="E137" s="133">
        <v>704.1</v>
      </c>
      <c r="F137" s="134">
        <v>689.25</v>
      </c>
      <c r="G137" s="141">
        <v>675.82</v>
      </c>
      <c r="H137" s="141">
        <v>675.96</v>
      </c>
      <c r="I137" s="141">
        <v>639.18</v>
      </c>
    </row>
    <row r="138" spans="1:9">
      <c r="A138" s="38">
        <v>17</v>
      </c>
      <c r="B138" s="141">
        <v>768.5</v>
      </c>
      <c r="C138" s="133">
        <v>704.36</v>
      </c>
      <c r="D138" s="133">
        <v>820.33</v>
      </c>
      <c r="E138" s="133">
        <v>705.36</v>
      </c>
      <c r="F138" s="134">
        <v>680.58</v>
      </c>
      <c r="G138" s="141">
        <v>674.88</v>
      </c>
      <c r="H138" s="141">
        <v>689.13</v>
      </c>
      <c r="I138" s="141">
        <v>640.18</v>
      </c>
    </row>
    <row r="139" spans="1:9">
      <c r="A139" s="38">
        <v>18</v>
      </c>
      <c r="B139" s="141">
        <v>691.17</v>
      </c>
      <c r="C139" s="133">
        <v>735.4</v>
      </c>
      <c r="D139" s="133">
        <v>751.69</v>
      </c>
      <c r="E139" s="133">
        <v>713.74</v>
      </c>
      <c r="F139" s="134">
        <v>695.8</v>
      </c>
      <c r="G139" s="141">
        <v>679.13</v>
      </c>
      <c r="H139" s="141">
        <v>686.97</v>
      </c>
      <c r="I139" s="141">
        <v>664.78</v>
      </c>
    </row>
    <row r="140" spans="1:9">
      <c r="A140" s="38">
        <v>19</v>
      </c>
      <c r="B140" s="141">
        <v>723.5</v>
      </c>
      <c r="C140" s="133">
        <v>672.46</v>
      </c>
      <c r="D140" s="133">
        <v>782.05</v>
      </c>
      <c r="E140" s="133">
        <v>755.74</v>
      </c>
      <c r="F140" s="134">
        <v>680.22</v>
      </c>
      <c r="G140" s="141">
        <v>676.73</v>
      </c>
      <c r="H140" s="141">
        <v>679.61</v>
      </c>
      <c r="I140" s="141">
        <v>630.15</v>
      </c>
    </row>
    <row r="141" spans="1:9">
      <c r="A141" s="38">
        <v>20</v>
      </c>
      <c r="B141" s="141">
        <v>670</v>
      </c>
      <c r="C141" s="133">
        <v>714.15</v>
      </c>
      <c r="D141" s="137">
        <v>820.55</v>
      </c>
      <c r="E141" s="133">
        <v>711.6</v>
      </c>
      <c r="F141" s="134">
        <v>681.89</v>
      </c>
      <c r="G141" s="141">
        <v>662.06</v>
      </c>
      <c r="H141" s="141">
        <v>666.74</v>
      </c>
      <c r="I141" s="141">
        <v>660.53</v>
      </c>
    </row>
    <row r="142" spans="1:9">
      <c r="A142" s="38">
        <v>21</v>
      </c>
      <c r="B142" s="141">
        <v>728.2</v>
      </c>
      <c r="C142" s="133">
        <v>709.9</v>
      </c>
      <c r="D142" s="133">
        <v>744.99</v>
      </c>
      <c r="E142" s="133">
        <v>726.39</v>
      </c>
      <c r="F142" s="134">
        <v>677.91</v>
      </c>
      <c r="G142" s="141">
        <v>667.1</v>
      </c>
      <c r="H142" s="141">
        <v>668.9</v>
      </c>
      <c r="I142" s="141">
        <v>667.68</v>
      </c>
    </row>
    <row r="143" spans="1:9">
      <c r="A143" s="38">
        <v>22</v>
      </c>
      <c r="B143" s="141">
        <v>726.42</v>
      </c>
      <c r="C143" s="133">
        <v>699.41</v>
      </c>
      <c r="D143" s="133">
        <v>742.12</v>
      </c>
      <c r="E143" s="133">
        <v>715.19</v>
      </c>
      <c r="F143" s="134">
        <v>697.22</v>
      </c>
      <c r="G143" s="141">
        <v>674.49</v>
      </c>
      <c r="H143" s="141">
        <v>691.51</v>
      </c>
      <c r="I143" s="141">
        <v>623.15</v>
      </c>
    </row>
    <row r="144" spans="1:9">
      <c r="A144" s="38">
        <v>23</v>
      </c>
      <c r="B144" s="141">
        <v>742.12</v>
      </c>
      <c r="C144" s="133">
        <v>666.4</v>
      </c>
      <c r="D144" s="133">
        <v>732.21</v>
      </c>
      <c r="E144" s="133">
        <v>727.1</v>
      </c>
      <c r="F144" s="134">
        <v>684.39</v>
      </c>
      <c r="G144" s="141">
        <v>662</v>
      </c>
      <c r="H144" s="141">
        <v>680.37</v>
      </c>
      <c r="I144" s="141">
        <v>626.1</v>
      </c>
    </row>
    <row r="145" spans="1:20">
      <c r="A145" s="38">
        <v>24</v>
      </c>
      <c r="B145" s="141">
        <v>759.4</v>
      </c>
      <c r="C145" s="133">
        <v>673.08</v>
      </c>
      <c r="D145" s="133">
        <v>722.94</v>
      </c>
      <c r="E145" s="133">
        <v>713.11</v>
      </c>
      <c r="F145" s="134">
        <v>687.44</v>
      </c>
      <c r="G145" s="141">
        <v>640.5</v>
      </c>
      <c r="H145" s="141">
        <v>669.99</v>
      </c>
      <c r="I145" s="141">
        <v>630.14</v>
      </c>
    </row>
    <row r="146" spans="1:20">
      <c r="A146" s="38">
        <v>25</v>
      </c>
      <c r="B146" s="141">
        <v>670.3</v>
      </c>
      <c r="C146" s="133">
        <v>696.36</v>
      </c>
      <c r="D146" s="133">
        <v>785.86</v>
      </c>
      <c r="E146" s="133">
        <v>745.46</v>
      </c>
      <c r="F146" s="134">
        <v>699.68</v>
      </c>
      <c r="G146" s="141">
        <v>666</v>
      </c>
      <c r="H146" s="141">
        <v>687.15</v>
      </c>
      <c r="I146" s="141">
        <v>611.62</v>
      </c>
    </row>
    <row r="147" spans="1:20">
      <c r="A147" s="38">
        <v>26</v>
      </c>
      <c r="B147" s="141">
        <v>680.12</v>
      </c>
      <c r="C147" s="133">
        <v>692.3</v>
      </c>
      <c r="D147" s="133">
        <v>798.92</v>
      </c>
      <c r="E147" s="133">
        <v>699.3</v>
      </c>
      <c r="F147" s="134">
        <v>658.35</v>
      </c>
      <c r="G147" s="141">
        <v>678.65</v>
      </c>
      <c r="H147" s="141">
        <v>685.48</v>
      </c>
      <c r="I147" s="141">
        <v>622.15</v>
      </c>
    </row>
    <row r="148" spans="1:20">
      <c r="A148" s="38">
        <v>27</v>
      </c>
      <c r="B148" s="141">
        <v>738.24</v>
      </c>
      <c r="C148" s="133">
        <v>707.6</v>
      </c>
      <c r="D148" s="133">
        <v>783.8</v>
      </c>
      <c r="E148" s="133">
        <v>686.43</v>
      </c>
      <c r="F148" s="134">
        <v>698.28</v>
      </c>
      <c r="G148" s="141">
        <v>677.58</v>
      </c>
      <c r="H148" s="141">
        <v>693.8</v>
      </c>
      <c r="I148" s="141">
        <v>650.88</v>
      </c>
    </row>
    <row r="149" spans="1:20">
      <c r="A149" s="38">
        <v>28</v>
      </c>
      <c r="B149" s="141">
        <v>774.39</v>
      </c>
      <c r="C149" s="133">
        <v>723.71</v>
      </c>
      <c r="D149" s="133">
        <v>728</v>
      </c>
      <c r="E149" s="133">
        <v>723</v>
      </c>
      <c r="F149" s="134">
        <v>686.73</v>
      </c>
      <c r="G149" s="141">
        <v>668.81</v>
      </c>
      <c r="H149" s="141">
        <v>687.65</v>
      </c>
      <c r="I149" s="141">
        <v>617.69</v>
      </c>
    </row>
    <row r="150" spans="1:20">
      <c r="A150" s="38">
        <v>29</v>
      </c>
      <c r="B150" s="141">
        <v>706.86</v>
      </c>
      <c r="C150" s="133">
        <v>710.66</v>
      </c>
      <c r="D150" s="133">
        <v>805.45</v>
      </c>
      <c r="E150" s="133">
        <v>728.6</v>
      </c>
      <c r="F150" s="134">
        <v>696.42</v>
      </c>
      <c r="G150" s="141">
        <v>671.91</v>
      </c>
      <c r="H150" s="141">
        <v>669</v>
      </c>
      <c r="I150" s="141">
        <v>640.47</v>
      </c>
    </row>
    <row r="151" spans="1:20">
      <c r="A151" s="38">
        <v>30</v>
      </c>
      <c r="B151" s="141">
        <v>767.6</v>
      </c>
      <c r="C151" s="133">
        <v>730.76</v>
      </c>
      <c r="D151" s="133">
        <v>719.59</v>
      </c>
      <c r="E151" s="133">
        <v>718.47</v>
      </c>
      <c r="F151" s="134">
        <v>697.03</v>
      </c>
      <c r="G151" s="141">
        <v>674.64</v>
      </c>
      <c r="H151" s="141">
        <v>679.52</v>
      </c>
      <c r="I151" s="141">
        <v>653.76</v>
      </c>
    </row>
    <row r="152" spans="1:20">
      <c r="B152" s="133"/>
      <c r="C152" s="133"/>
      <c r="D152" s="11"/>
      <c r="E152" s="11"/>
      <c r="F152" s="134"/>
      <c r="G152" s="11"/>
      <c r="H152" s="11"/>
      <c r="I152" s="134"/>
    </row>
    <row r="153" spans="1:20">
      <c r="A153" s="38" t="s">
        <v>23</v>
      </c>
      <c r="B153" s="133">
        <f t="shared" ref="B153:I153" si="11">MIN(B122:B151)</f>
        <v>670</v>
      </c>
      <c r="C153" s="133">
        <f t="shared" si="11"/>
        <v>654.35</v>
      </c>
      <c r="D153" s="11">
        <f t="shared" si="11"/>
        <v>716.84</v>
      </c>
      <c r="E153" s="11">
        <f t="shared" si="11"/>
        <v>686.43</v>
      </c>
      <c r="F153" s="11">
        <f t="shared" si="11"/>
        <v>658.35</v>
      </c>
      <c r="G153" s="11">
        <f t="shared" si="11"/>
        <v>640.5</v>
      </c>
      <c r="H153" s="11">
        <f t="shared" si="11"/>
        <v>651.91</v>
      </c>
      <c r="I153" s="11">
        <f t="shared" si="11"/>
        <v>611.62</v>
      </c>
    </row>
    <row r="154" s="131" customFormat="1" spans="1:20">
      <c r="A154" s="82" t="s">
        <v>24</v>
      </c>
      <c r="B154" s="133">
        <f t="shared" ref="B154:I154" si="12">MAX(B122:B151)</f>
        <v>774.39</v>
      </c>
      <c r="C154" s="133">
        <f t="shared" si="12"/>
        <v>739.04</v>
      </c>
      <c r="D154" s="133">
        <f t="shared" si="12"/>
        <v>820.55</v>
      </c>
      <c r="E154" s="133">
        <f t="shared" si="12"/>
        <v>755.74</v>
      </c>
      <c r="F154" s="133">
        <f t="shared" si="12"/>
        <v>709.7</v>
      </c>
      <c r="G154" s="133">
        <f t="shared" si="12"/>
        <v>679.13</v>
      </c>
      <c r="H154" s="133">
        <f t="shared" si="12"/>
        <v>706.14</v>
      </c>
      <c r="I154" s="11">
        <f t="shared" si="12"/>
        <v>667.68</v>
      </c>
      <c r="J154"/>
      <c r="K154"/>
      <c r="L154"/>
      <c r="M154"/>
      <c r="N154"/>
      <c r="O154"/>
      <c r="P154"/>
      <c r="Q154"/>
      <c r="R154"/>
      <c r="S154"/>
      <c r="T154"/>
    </row>
    <row r="155" spans="1:20">
      <c r="A155" s="38" t="s">
        <v>25</v>
      </c>
      <c r="B155" s="133">
        <f t="shared" ref="B155:I155" si="13">AVERAGE(B122:B151)</f>
        <v>722.098333333333</v>
      </c>
      <c r="C155" s="133">
        <f t="shared" si="13"/>
        <v>700.366333333333</v>
      </c>
      <c r="D155" s="133">
        <f t="shared" si="13"/>
        <v>768.472333333333</v>
      </c>
      <c r="E155" s="133">
        <f t="shared" si="13"/>
        <v>722.028</v>
      </c>
      <c r="F155" s="134">
        <f t="shared" si="13"/>
        <v>685.860666666666</v>
      </c>
      <c r="G155" s="133">
        <f t="shared" si="13"/>
        <v>668.392666666667</v>
      </c>
      <c r="H155" s="133">
        <f t="shared" si="13"/>
        <v>677.459</v>
      </c>
      <c r="I155" s="134">
        <f t="shared" si="13"/>
        <v>635.336333333333</v>
      </c>
    </row>
    <row r="156" spans="1:20">
      <c r="B156" s="136">
        <f t="shared" ref="B156:I156" si="14">(B155-B153)/B155</f>
        <v>0.0721485300940085</v>
      </c>
      <c r="C156" s="136">
        <f t="shared" si="14"/>
        <v>0.0657032343549729</v>
      </c>
      <c r="D156" s="136">
        <f t="shared" si="14"/>
        <v>0.067188278736558</v>
      </c>
      <c r="E156" s="136">
        <f t="shared" si="14"/>
        <v>0.0493027971214414</v>
      </c>
      <c r="F156" s="136">
        <f t="shared" si="14"/>
        <v>0.0401111596038452</v>
      </c>
      <c r="G156" s="136">
        <f t="shared" si="14"/>
        <v>0.0417309585483183</v>
      </c>
      <c r="H156" s="136">
        <f t="shared" si="14"/>
        <v>0.0377129833687354</v>
      </c>
      <c r="I156" s="136">
        <f t="shared" si="14"/>
        <v>0.0373287849112989</v>
      </c>
    </row>
    <row r="157" spans="1:20">
      <c r="I157" s="136"/>
    </row>
    <row r="158" spans="1:20">
      <c r="I158" s="136"/>
    </row>
    <row r="159" spans="1:20">
      <c r="A159" s="143"/>
      <c r="B159" s="144"/>
      <c r="C159" s="144"/>
      <c r="D159" s="144"/>
      <c r="E159" s="144"/>
      <c r="F159" s="144"/>
      <c r="G159" s="144"/>
      <c r="H159" s="144"/>
      <c r="I159" s="134"/>
    </row>
    <row r="160" spans="1:20">
      <c r="B160" s="11" t="s">
        <v>50</v>
      </c>
      <c r="C160" s="11" t="s">
        <v>51</v>
      </c>
      <c r="D160" s="11" t="s">
        <v>52</v>
      </c>
      <c r="E160" s="11" t="s">
        <v>53</v>
      </c>
      <c r="F160" s="11" t="s">
        <v>54</v>
      </c>
      <c r="G160" s="11" t="s">
        <v>55</v>
      </c>
      <c r="H160" s="11" t="s">
        <v>56</v>
      </c>
      <c r="I160" s="12" t="s">
        <v>57</v>
      </c>
    </row>
    <row r="161" spans="1:9">
      <c r="A161" s="38">
        <v>1</v>
      </c>
      <c r="B161" s="145">
        <v>974</v>
      </c>
      <c r="C161" s="145">
        <v>952.7</v>
      </c>
      <c r="D161" s="145">
        <v>989.13</v>
      </c>
      <c r="E161" s="145">
        <v>938.45</v>
      </c>
      <c r="F161" s="145">
        <v>914.65</v>
      </c>
      <c r="G161" s="145">
        <v>902.25</v>
      </c>
      <c r="H161" s="145">
        <v>925.76</v>
      </c>
      <c r="I161" s="145">
        <v>864.46</v>
      </c>
    </row>
    <row r="162" spans="1:9">
      <c r="A162" s="38">
        <v>2</v>
      </c>
      <c r="B162" s="145">
        <v>977.92</v>
      </c>
      <c r="C162" s="145">
        <v>898.28</v>
      </c>
      <c r="D162" s="145">
        <v>999.72</v>
      </c>
      <c r="E162" s="145">
        <v>978.59</v>
      </c>
      <c r="F162" s="145">
        <v>912.88</v>
      </c>
      <c r="G162" s="145">
        <v>912.59</v>
      </c>
      <c r="H162" s="145">
        <v>932</v>
      </c>
      <c r="I162" s="145">
        <v>863.3</v>
      </c>
    </row>
    <row r="163" spans="1:9">
      <c r="A163" s="38">
        <v>3</v>
      </c>
      <c r="B163" s="145">
        <v>1024.93</v>
      </c>
      <c r="C163" s="145">
        <v>934.14</v>
      </c>
      <c r="D163" s="145">
        <v>1017.93</v>
      </c>
      <c r="E163" s="145">
        <v>964.2</v>
      </c>
      <c r="F163" s="145">
        <v>922.37</v>
      </c>
      <c r="G163" s="145">
        <v>927.11</v>
      </c>
      <c r="H163" s="145">
        <v>940.8</v>
      </c>
      <c r="I163" s="145">
        <v>865.78</v>
      </c>
    </row>
    <row r="164" spans="1:9">
      <c r="A164" s="38">
        <v>4</v>
      </c>
      <c r="B164" s="145">
        <v>1034.56</v>
      </c>
      <c r="C164" s="145">
        <v>940.6</v>
      </c>
      <c r="D164" s="145">
        <v>997.8</v>
      </c>
      <c r="E164" s="145">
        <v>984.7</v>
      </c>
      <c r="F164" s="145">
        <v>930.71</v>
      </c>
      <c r="G164" s="145">
        <v>895.26</v>
      </c>
      <c r="H164" s="145">
        <v>925.49</v>
      </c>
      <c r="I164" s="145">
        <v>849.7</v>
      </c>
    </row>
    <row r="165" spans="1:9">
      <c r="A165" s="38">
        <v>5</v>
      </c>
      <c r="B165" s="145">
        <v>935.42</v>
      </c>
      <c r="C165" s="145">
        <v>935.45</v>
      </c>
      <c r="D165" s="145">
        <v>1012.95</v>
      </c>
      <c r="E165" s="145">
        <v>952.97</v>
      </c>
      <c r="F165" s="145">
        <v>938.16</v>
      </c>
      <c r="G165" s="145">
        <v>880.29</v>
      </c>
      <c r="H165" s="145">
        <v>898.11</v>
      </c>
      <c r="I165" s="145">
        <v>841.02</v>
      </c>
    </row>
    <row r="166" spans="1:9">
      <c r="A166" s="38">
        <v>6</v>
      </c>
      <c r="B166" s="145">
        <v>1010.39</v>
      </c>
      <c r="C166" s="145">
        <v>929.21</v>
      </c>
      <c r="D166" s="145">
        <v>1005.37</v>
      </c>
      <c r="E166" s="145">
        <v>997.37</v>
      </c>
      <c r="F166" s="145">
        <v>920.16</v>
      </c>
      <c r="G166" s="145">
        <v>893.5</v>
      </c>
      <c r="H166" s="145">
        <v>929.27</v>
      </c>
      <c r="I166" s="145">
        <v>889.4</v>
      </c>
    </row>
    <row r="167" spans="1:9">
      <c r="A167" s="38">
        <v>7</v>
      </c>
      <c r="B167" s="145">
        <v>946.3</v>
      </c>
      <c r="C167" s="145">
        <v>974.77</v>
      </c>
      <c r="D167" s="145">
        <v>1021.2</v>
      </c>
      <c r="E167" s="145">
        <v>968.1</v>
      </c>
      <c r="F167" s="145">
        <v>909.67</v>
      </c>
      <c r="G167" s="145">
        <v>920.24</v>
      </c>
      <c r="H167" s="145">
        <v>921.2</v>
      </c>
      <c r="I167" s="145">
        <v>870.07</v>
      </c>
    </row>
    <row r="168" spans="1:9">
      <c r="A168" s="38">
        <v>8</v>
      </c>
      <c r="B168" s="145">
        <v>1015.56</v>
      </c>
      <c r="C168" s="145">
        <v>905.5</v>
      </c>
      <c r="D168" s="145">
        <v>1018.88</v>
      </c>
      <c r="E168" s="145">
        <v>995.39</v>
      </c>
      <c r="F168" s="145">
        <v>911.77</v>
      </c>
      <c r="G168" s="145">
        <v>876.4</v>
      </c>
      <c r="H168" s="145">
        <v>945.06</v>
      </c>
      <c r="I168" s="145">
        <v>847.87</v>
      </c>
    </row>
    <row r="169" spans="1:9">
      <c r="A169" s="38">
        <v>9</v>
      </c>
      <c r="B169" s="145">
        <v>976.1</v>
      </c>
      <c r="C169" s="145">
        <v>949.43</v>
      </c>
      <c r="D169" s="145">
        <v>1020.97</v>
      </c>
      <c r="E169" s="145">
        <v>982.44</v>
      </c>
      <c r="F169" s="145">
        <v>933.65</v>
      </c>
      <c r="G169" s="145">
        <v>921.11</v>
      </c>
      <c r="H169" s="145">
        <v>945.06</v>
      </c>
      <c r="I169" s="145">
        <v>835.38</v>
      </c>
    </row>
    <row r="170" spans="1:9">
      <c r="A170" s="38">
        <v>10</v>
      </c>
      <c r="B170" s="145">
        <v>945.47</v>
      </c>
      <c r="C170" s="145">
        <v>976.34</v>
      </c>
      <c r="D170" s="145">
        <v>980.23</v>
      </c>
      <c r="E170" s="145">
        <v>935.76</v>
      </c>
      <c r="F170" s="145">
        <v>914.39</v>
      </c>
      <c r="G170" s="145">
        <v>922.01</v>
      </c>
      <c r="H170" s="145">
        <v>899.12</v>
      </c>
      <c r="I170" s="145">
        <v>876.79</v>
      </c>
    </row>
    <row r="171" spans="1:9">
      <c r="A171" s="38">
        <v>11</v>
      </c>
      <c r="B171" s="145">
        <v>967.38</v>
      </c>
      <c r="C171" s="145">
        <v>963.04</v>
      </c>
      <c r="D171" s="145">
        <v>999.85</v>
      </c>
      <c r="E171" s="145">
        <v>986.34</v>
      </c>
      <c r="F171" s="145">
        <v>931.25</v>
      </c>
      <c r="G171" s="145">
        <v>913.28</v>
      </c>
      <c r="H171" s="145">
        <v>936.2</v>
      </c>
      <c r="I171" s="145">
        <v>853.1</v>
      </c>
    </row>
    <row r="172" spans="1:9">
      <c r="A172" s="38">
        <v>12</v>
      </c>
      <c r="B172" s="145">
        <v>1011.41</v>
      </c>
      <c r="C172" s="145">
        <v>911.58</v>
      </c>
      <c r="D172" s="145">
        <v>968.92</v>
      </c>
      <c r="E172" s="145">
        <v>990.89</v>
      </c>
      <c r="F172" s="145">
        <v>920.08</v>
      </c>
      <c r="G172" s="145">
        <v>917.99</v>
      </c>
      <c r="H172" s="145">
        <v>908.61</v>
      </c>
      <c r="I172" s="145">
        <v>860.4</v>
      </c>
    </row>
    <row r="173" spans="1:9">
      <c r="A173" s="38">
        <v>13</v>
      </c>
      <c r="B173" s="145">
        <v>934.2</v>
      </c>
      <c r="C173" s="145">
        <v>895.9</v>
      </c>
      <c r="D173" s="145">
        <v>999.56</v>
      </c>
      <c r="E173" s="145">
        <v>956.65</v>
      </c>
      <c r="F173" s="145">
        <v>909.25</v>
      </c>
      <c r="G173" s="145">
        <v>908.09</v>
      </c>
      <c r="H173" s="145">
        <v>945.06</v>
      </c>
      <c r="I173" s="145">
        <v>866.1</v>
      </c>
    </row>
    <row r="174" spans="1:9">
      <c r="A174" s="38">
        <v>14</v>
      </c>
      <c r="B174" s="145">
        <v>917.03</v>
      </c>
      <c r="C174" s="145">
        <v>942.05</v>
      </c>
      <c r="D174" s="145">
        <v>1018.31</v>
      </c>
      <c r="E174" s="145">
        <v>934.34</v>
      </c>
      <c r="F174" s="145">
        <v>924.22</v>
      </c>
      <c r="G174" s="145">
        <v>928.17</v>
      </c>
      <c r="H174" s="145">
        <v>922.77</v>
      </c>
      <c r="I174" s="145">
        <v>894.97</v>
      </c>
    </row>
    <row r="175" spans="1:9">
      <c r="A175" s="38">
        <v>15</v>
      </c>
      <c r="B175" s="145">
        <v>930.88</v>
      </c>
      <c r="C175" s="145">
        <v>904.06</v>
      </c>
      <c r="D175" s="145">
        <v>1014</v>
      </c>
      <c r="E175" s="145">
        <v>931.52</v>
      </c>
      <c r="F175" s="145">
        <v>927.61</v>
      </c>
      <c r="G175" s="145">
        <v>942.05</v>
      </c>
      <c r="H175" s="145">
        <v>934.5</v>
      </c>
      <c r="I175" s="145">
        <v>872.6</v>
      </c>
    </row>
    <row r="176" spans="1:9">
      <c r="A176" s="38">
        <v>16</v>
      </c>
      <c r="B176" s="145">
        <v>940.45</v>
      </c>
      <c r="C176" s="145">
        <v>903.33</v>
      </c>
      <c r="D176" s="145">
        <v>1022.94</v>
      </c>
      <c r="E176" s="145">
        <v>964.07</v>
      </c>
      <c r="F176" s="145">
        <v>917.84</v>
      </c>
      <c r="G176" s="145">
        <v>894.81</v>
      </c>
      <c r="H176" s="145">
        <v>939.55</v>
      </c>
      <c r="I176" s="145">
        <v>859.69</v>
      </c>
    </row>
    <row r="177" spans="1:9">
      <c r="A177" s="38">
        <v>17</v>
      </c>
      <c r="B177" s="145">
        <v>997.93</v>
      </c>
      <c r="C177" s="145">
        <v>890.55</v>
      </c>
      <c r="D177" s="145">
        <v>1015.85</v>
      </c>
      <c r="E177" s="145">
        <v>990.63</v>
      </c>
      <c r="F177" s="145">
        <v>934.26</v>
      </c>
      <c r="G177" s="145">
        <v>922.06</v>
      </c>
      <c r="H177" s="145">
        <v>931.86</v>
      </c>
      <c r="I177" s="145">
        <v>862.3</v>
      </c>
    </row>
    <row r="178" spans="1:9">
      <c r="A178" s="38">
        <v>18</v>
      </c>
      <c r="B178" s="145">
        <v>980.4</v>
      </c>
      <c r="C178" s="145">
        <v>931.47</v>
      </c>
      <c r="D178" s="145">
        <v>1016.95</v>
      </c>
      <c r="E178" s="145">
        <v>996.38</v>
      </c>
      <c r="F178" s="145">
        <v>931.13</v>
      </c>
      <c r="G178" s="145">
        <v>902.51</v>
      </c>
      <c r="H178" s="145">
        <v>942.8</v>
      </c>
      <c r="I178" s="145">
        <v>861.48</v>
      </c>
    </row>
    <row r="179" spans="1:9">
      <c r="A179" s="38">
        <v>19</v>
      </c>
      <c r="B179" s="145">
        <v>962.82</v>
      </c>
      <c r="C179" s="145">
        <v>909.94</v>
      </c>
      <c r="D179" s="145">
        <v>1023.12</v>
      </c>
      <c r="E179" s="145">
        <v>982.32</v>
      </c>
      <c r="F179" s="145">
        <v>932.7</v>
      </c>
      <c r="G179" s="145">
        <v>910.21</v>
      </c>
      <c r="H179" s="145">
        <v>934.43</v>
      </c>
      <c r="I179" s="145">
        <v>885.3</v>
      </c>
    </row>
    <row r="180" spans="1:9">
      <c r="A180" s="38">
        <v>20</v>
      </c>
      <c r="B180" s="145">
        <v>1032.87</v>
      </c>
      <c r="C180" s="145">
        <v>975.83</v>
      </c>
      <c r="D180" s="145">
        <v>1033.69</v>
      </c>
      <c r="E180" s="145">
        <v>976.2</v>
      </c>
      <c r="F180" s="145">
        <v>935.23</v>
      </c>
      <c r="G180" s="145">
        <v>923.5</v>
      </c>
      <c r="H180" s="145">
        <v>917.82</v>
      </c>
      <c r="I180" s="145">
        <v>861.42</v>
      </c>
    </row>
    <row r="181" spans="1:9">
      <c r="A181" s="38">
        <v>21</v>
      </c>
      <c r="B181" s="145">
        <v>989.58</v>
      </c>
      <c r="C181" s="145">
        <v>964.1</v>
      </c>
      <c r="D181" s="145">
        <v>1010.8</v>
      </c>
      <c r="E181" s="145">
        <v>991.75</v>
      </c>
      <c r="F181" s="145">
        <v>893.16</v>
      </c>
      <c r="G181" s="145">
        <v>930.82</v>
      </c>
      <c r="H181" s="145">
        <v>903.5</v>
      </c>
      <c r="I181" s="145">
        <v>926.18</v>
      </c>
    </row>
    <row r="182" spans="1:9">
      <c r="A182" s="38">
        <v>22</v>
      </c>
      <c r="B182" s="145">
        <v>1006.06</v>
      </c>
      <c r="C182" s="145">
        <v>944.87</v>
      </c>
      <c r="D182" s="145">
        <v>1034.26</v>
      </c>
      <c r="E182" s="145">
        <v>997.07</v>
      </c>
      <c r="F182" s="145">
        <v>922.94</v>
      </c>
      <c r="G182" s="145">
        <v>898.5</v>
      </c>
      <c r="H182" s="145">
        <v>945.06</v>
      </c>
      <c r="I182" s="145">
        <v>853.81</v>
      </c>
    </row>
    <row r="183" spans="1:9">
      <c r="A183" s="38">
        <v>23</v>
      </c>
      <c r="B183" s="145">
        <v>970.2</v>
      </c>
      <c r="C183" s="145">
        <v>913.94</v>
      </c>
      <c r="D183" s="145">
        <v>1007.43</v>
      </c>
      <c r="E183" s="145">
        <v>981</v>
      </c>
      <c r="F183" s="145">
        <v>931.14</v>
      </c>
      <c r="G183" s="145">
        <v>934.15</v>
      </c>
      <c r="H183" s="145">
        <v>920.71</v>
      </c>
      <c r="I183" s="145">
        <v>869.29</v>
      </c>
    </row>
    <row r="184" spans="1:9">
      <c r="A184" s="38">
        <v>24</v>
      </c>
      <c r="B184" s="145">
        <v>1014.44</v>
      </c>
      <c r="C184" s="145">
        <v>902.12</v>
      </c>
      <c r="D184" s="145">
        <v>997.72</v>
      </c>
      <c r="E184" s="145">
        <v>966.44</v>
      </c>
      <c r="F184" s="145">
        <v>932.08</v>
      </c>
      <c r="G184" s="145">
        <v>925.14</v>
      </c>
      <c r="H184" s="145">
        <v>931.1</v>
      </c>
      <c r="I184" s="145">
        <v>864.3</v>
      </c>
    </row>
    <row r="185" spans="1:9">
      <c r="A185" s="38">
        <v>25</v>
      </c>
      <c r="B185" s="145">
        <v>919.06</v>
      </c>
      <c r="C185" s="145">
        <v>954.88</v>
      </c>
      <c r="D185" s="145">
        <v>1022.3</v>
      </c>
      <c r="E185" s="145">
        <v>979.9</v>
      </c>
      <c r="F185" s="145">
        <v>925.52</v>
      </c>
      <c r="G185" s="145">
        <v>914.22</v>
      </c>
      <c r="H185" s="145">
        <v>938.03</v>
      </c>
      <c r="I185" s="145">
        <v>877.6</v>
      </c>
    </row>
    <row r="186" spans="1:9">
      <c r="A186" s="38">
        <v>26</v>
      </c>
      <c r="B186" s="145">
        <v>988.22</v>
      </c>
      <c r="C186" s="145">
        <v>918.54</v>
      </c>
      <c r="D186" s="145">
        <v>1024.4</v>
      </c>
      <c r="E186" s="145">
        <v>974.93</v>
      </c>
      <c r="F186" s="145">
        <v>924.09</v>
      </c>
      <c r="G186" s="145">
        <v>912.31</v>
      </c>
      <c r="H186" s="145">
        <v>932.29</v>
      </c>
      <c r="I186" s="145">
        <v>880.1</v>
      </c>
    </row>
    <row r="187" spans="1:9">
      <c r="A187" s="38">
        <v>27</v>
      </c>
      <c r="B187" s="145">
        <v>1028.47</v>
      </c>
      <c r="C187" s="145">
        <v>926.3</v>
      </c>
      <c r="D187" s="145">
        <v>1000.08</v>
      </c>
      <c r="E187" s="145">
        <v>961.72</v>
      </c>
      <c r="F187" s="145">
        <v>908.54</v>
      </c>
      <c r="G187" s="145">
        <v>911.97</v>
      </c>
      <c r="H187" s="145">
        <v>916.41</v>
      </c>
      <c r="I187" s="145">
        <v>881.99</v>
      </c>
    </row>
    <row r="188" spans="1:9">
      <c r="A188" s="38">
        <v>28</v>
      </c>
      <c r="B188" s="145">
        <v>917.83</v>
      </c>
      <c r="C188" s="145">
        <v>958.1</v>
      </c>
      <c r="D188" s="145">
        <v>1027.24</v>
      </c>
      <c r="E188" s="145">
        <v>973.7</v>
      </c>
      <c r="F188" s="145">
        <v>922.28</v>
      </c>
      <c r="G188" s="145">
        <v>910.7</v>
      </c>
      <c r="H188" s="145">
        <v>922.57</v>
      </c>
      <c r="I188" s="145">
        <v>881.82</v>
      </c>
    </row>
    <row r="189" spans="1:9">
      <c r="A189" s="38">
        <v>29</v>
      </c>
      <c r="B189" s="145">
        <v>1007.26</v>
      </c>
      <c r="C189" s="145">
        <v>949.2</v>
      </c>
      <c r="D189" s="145">
        <v>1009.16</v>
      </c>
      <c r="E189" s="145">
        <v>985.77</v>
      </c>
      <c r="F189" s="145">
        <v>917.59</v>
      </c>
      <c r="G189" s="145">
        <v>915.58</v>
      </c>
      <c r="H189" s="145">
        <v>927.71</v>
      </c>
      <c r="I189" s="145">
        <v>846.22</v>
      </c>
    </row>
    <row r="190" spans="1:9">
      <c r="A190" s="38">
        <v>30</v>
      </c>
      <c r="B190" s="145">
        <v>974.54</v>
      </c>
      <c r="C190" s="145">
        <v>906.5</v>
      </c>
      <c r="D190" s="145">
        <v>996.48</v>
      </c>
      <c r="E190" s="145">
        <v>986.73</v>
      </c>
      <c r="F190" s="145">
        <v>938.38</v>
      </c>
      <c r="G190" s="145">
        <v>916.01</v>
      </c>
      <c r="H190" s="145">
        <v>945.06</v>
      </c>
      <c r="I190" s="145">
        <v>863.85</v>
      </c>
    </row>
    <row r="191" spans="1:9">
      <c r="B191" s="146"/>
      <c r="C191" s="146"/>
      <c r="D191" s="146"/>
      <c r="E191" s="146"/>
      <c r="F191" s="146"/>
      <c r="G191" s="146"/>
      <c r="H191" s="146"/>
      <c r="I191" s="146"/>
    </row>
    <row r="192" ht="15" spans="1:9">
      <c r="A192" s="133" t="s">
        <v>23</v>
      </c>
      <c r="B192" s="11">
        <f t="shared" ref="B192:I192" si="15">MIN(B161:B190)</f>
        <v>917.03</v>
      </c>
      <c r="C192" s="11">
        <f t="shared" si="15"/>
        <v>890.55</v>
      </c>
      <c r="D192" s="11">
        <f t="shared" si="15"/>
        <v>968.92</v>
      </c>
      <c r="E192" s="11">
        <f t="shared" si="15"/>
        <v>931.52</v>
      </c>
      <c r="F192" s="11">
        <f t="shared" si="15"/>
        <v>893.16</v>
      </c>
      <c r="G192" s="133">
        <f t="shared" si="15"/>
        <v>876.4</v>
      </c>
      <c r="H192" s="11">
        <f t="shared" si="15"/>
        <v>898.11</v>
      </c>
      <c r="I192" s="11">
        <f t="shared" si="15"/>
        <v>835.38</v>
      </c>
    </row>
    <row r="193" ht="15" spans="1:9">
      <c r="A193" s="133" t="s">
        <v>24</v>
      </c>
      <c r="B193" s="133">
        <f t="shared" ref="B193:I193" si="16">MAX(B161:B190)</f>
        <v>1034.56</v>
      </c>
      <c r="C193" s="133">
        <f t="shared" si="16"/>
        <v>976.34</v>
      </c>
      <c r="D193" s="133">
        <f t="shared" si="16"/>
        <v>1034.26</v>
      </c>
      <c r="E193" s="133">
        <f t="shared" si="16"/>
        <v>997.37</v>
      </c>
      <c r="F193" s="133">
        <f t="shared" si="16"/>
        <v>938.38</v>
      </c>
      <c r="G193" s="133">
        <f t="shared" si="16"/>
        <v>942.05</v>
      </c>
      <c r="H193" s="133">
        <f t="shared" si="16"/>
        <v>945.06</v>
      </c>
      <c r="I193" s="11">
        <f t="shared" si="16"/>
        <v>926.18</v>
      </c>
    </row>
    <row r="194" ht="15" spans="1:9">
      <c r="A194" s="133" t="s">
        <v>25</v>
      </c>
      <c r="B194" s="133">
        <f t="shared" ref="B194:I194" si="17">AVERAGE(B161:B190)</f>
        <v>977.722666666667</v>
      </c>
      <c r="C194" s="133">
        <f t="shared" si="17"/>
        <v>932.090666666666</v>
      </c>
      <c r="D194" s="133">
        <f t="shared" si="17"/>
        <v>1010.24133333333</v>
      </c>
      <c r="E194" s="133">
        <f t="shared" si="17"/>
        <v>973.544</v>
      </c>
      <c r="F194" s="134">
        <f t="shared" si="17"/>
        <v>922.923333333333</v>
      </c>
      <c r="G194" s="133">
        <f t="shared" si="17"/>
        <v>912.761</v>
      </c>
      <c r="H194" s="133">
        <f t="shared" si="17"/>
        <v>928.597</v>
      </c>
      <c r="I194" s="134">
        <f t="shared" si="17"/>
        <v>867.543</v>
      </c>
    </row>
    <row r="195" spans="1:9">
      <c r="B195" s="136">
        <f t="shared" ref="B195:I195" si="18">(B194-B192)/B194</f>
        <v>0.0620755442579493</v>
      </c>
      <c r="C195" s="136">
        <f t="shared" si="18"/>
        <v>0.0445671951798679</v>
      </c>
      <c r="D195" s="136">
        <f t="shared" si="18"/>
        <v>0.0409024378333362</v>
      </c>
      <c r="E195" s="136">
        <f t="shared" si="18"/>
        <v>0.0431659996877389</v>
      </c>
      <c r="F195" s="136">
        <f t="shared" si="18"/>
        <v>0.0322489769825592</v>
      </c>
      <c r="G195" s="136">
        <f t="shared" si="18"/>
        <v>0.0398362769662596</v>
      </c>
      <c r="H195" s="136">
        <f t="shared" si="18"/>
        <v>0.032831249724046</v>
      </c>
      <c r="I195" s="136">
        <f t="shared" si="18"/>
        <v>0.0370736666655139</v>
      </c>
    </row>
  </sheetData>
  <autoFilter xmlns:etc="http://www.wps.cn/officeDocument/2017/etCustomData" ref="A81:I111" etc:filterBottomFollowUsedRange="0">
    <extLst/>
  </autoFilter>
  <conditionalFormatting sqref="B33:J36">
    <cfRule type="duplicateValues" dxfId="0" priority="5"/>
  </conditionalFormatting>
  <conditionalFormatting sqref="B73:I78">
    <cfRule type="duplicateValues" dxfId="0" priority="6"/>
  </conditionalFormatting>
  <conditionalFormatting sqref="B73:I76">
    <cfRule type="duplicateValues" dxfId="0" priority="4"/>
  </conditionalFormatting>
  <conditionalFormatting sqref="B113:J116">
    <cfRule type="duplicateValues" dxfId="0" priority="3"/>
  </conditionalFormatting>
  <conditionalFormatting sqref="B153:I156">
    <cfRule type="duplicateValues" dxfId="0" priority="2"/>
  </conditionalFormatting>
  <conditionalFormatting sqref="A192:I195 U192:IV195">
    <cfRule type="duplicateValues" dxfId="0" priority="1"/>
  </conditionalFormatting>
  <pageMargins left="0.75" right="0.75" top="1" bottom="1" header="0.511805555555556" footer="0.511805555555556"/>
  <pageSetup paperSize="9" orientation="portrait"/>
  <headerFooter alignWithMargins="0" scaleWithDoc="0"/>
  <drawing r:id="rId1"/>
  <legacyDrawing r:id="rId2"/>
  <oleObjects>
    <mc:AlternateContent xmlns:mc="http://schemas.openxmlformats.org/markup-compatibility/2006">
      <mc:Choice Requires="x14">
        <oleObject shapeId="1116" progId="Equation.KSEE3" r:id="rId3">
          <objectPr defaultSize="0" r:id="rId4">
            <anchor moveWithCells="1">
              <from>
                <xdr:col>0</xdr:col>
                <xdr:colOff>467995</xdr:colOff>
                <xdr:row>155</xdr:row>
                <xdr:rowOff>19050</xdr:rowOff>
              </from>
              <to>
                <xdr:col>0</xdr:col>
                <xdr:colOff>582295</xdr:colOff>
                <xdr:row>155</xdr:row>
                <xdr:rowOff>170815</xdr:rowOff>
              </to>
            </anchor>
          </objectPr>
        </oleObject>
      </mc:Choice>
      <mc:Fallback>
        <oleObject shapeId="1116" progId="Equation.KSEE3" r:id="rId3"/>
      </mc:Fallback>
    </mc:AlternateContent>
    <mc:AlternateContent xmlns:mc="http://schemas.openxmlformats.org/markup-compatibility/2006">
      <mc:Choice Requires="x14">
        <oleObject shapeId="1117" progId="Equation.KSEE3" r:id="rId5">
          <objectPr defaultSize="0" r:id="rId4">
            <anchor moveWithCells="1">
              <from>
                <xdr:col>0</xdr:col>
                <xdr:colOff>534670</xdr:colOff>
                <xdr:row>115</xdr:row>
                <xdr:rowOff>9525</xdr:rowOff>
              </from>
              <to>
                <xdr:col>0</xdr:col>
                <xdr:colOff>647700</xdr:colOff>
                <xdr:row>115</xdr:row>
                <xdr:rowOff>161925</xdr:rowOff>
              </to>
            </anchor>
          </objectPr>
        </oleObject>
      </mc:Choice>
      <mc:Fallback>
        <oleObject shapeId="1117" progId="Equation.KSEE3" r:id="rId5"/>
      </mc:Fallback>
    </mc:AlternateContent>
    <mc:AlternateContent xmlns:mc="http://schemas.openxmlformats.org/markup-compatibility/2006">
      <mc:Choice Requires="x14">
        <oleObject shapeId="1118" progId="Equation.KSEE3" r:id="rId6">
          <objectPr defaultSize="0" r:id="rId4">
            <anchor moveWithCells="1">
              <from>
                <xdr:col>0</xdr:col>
                <xdr:colOff>325120</xdr:colOff>
                <xdr:row>75</xdr:row>
                <xdr:rowOff>29210</xdr:rowOff>
              </from>
              <to>
                <xdr:col>0</xdr:col>
                <xdr:colOff>438150</xdr:colOff>
                <xdr:row>75</xdr:row>
                <xdr:rowOff>180975</xdr:rowOff>
              </to>
            </anchor>
          </objectPr>
        </oleObject>
      </mc:Choice>
      <mc:Fallback>
        <oleObject shapeId="1118" progId="Equation.KSEE3" r:id="rId6"/>
      </mc:Fallback>
    </mc:AlternateContent>
    <mc:AlternateContent xmlns:mc="http://schemas.openxmlformats.org/markup-compatibility/2006">
      <mc:Choice Requires="x14">
        <oleObject shapeId="1119" progId="Equation.KSEE3" r:id="rId7">
          <objectPr defaultSize="0" r:id="rId4">
            <anchor moveWithCells="1">
              <from>
                <xdr:col>0</xdr:col>
                <xdr:colOff>315595</xdr:colOff>
                <xdr:row>35</xdr:row>
                <xdr:rowOff>19050</xdr:rowOff>
              </from>
              <to>
                <xdr:col>0</xdr:col>
                <xdr:colOff>428625</xdr:colOff>
                <xdr:row>35</xdr:row>
                <xdr:rowOff>171450</xdr:rowOff>
              </to>
            </anchor>
          </objectPr>
        </oleObject>
      </mc:Choice>
      <mc:Fallback>
        <oleObject shapeId="1119" progId="Equation.KSEE3" r:id="rId7"/>
      </mc:Fallback>
    </mc:AlternateContent>
    <mc:AlternateContent xmlns:mc="http://schemas.openxmlformats.org/markup-compatibility/2006">
      <mc:Choice Requires="x14">
        <oleObject shapeId="1120" progId="Equation.KSEE3" r:id="rId8">
          <objectPr defaultSize="0" r:id="rId4">
            <anchor moveWithCells="1">
              <from>
                <xdr:col>0</xdr:col>
                <xdr:colOff>391795</xdr:colOff>
                <xdr:row>194</xdr:row>
                <xdr:rowOff>38735</xdr:rowOff>
              </from>
              <to>
                <xdr:col>0</xdr:col>
                <xdr:colOff>504825</xdr:colOff>
                <xdr:row>194</xdr:row>
                <xdr:rowOff>190500</xdr:rowOff>
              </to>
            </anchor>
          </objectPr>
        </oleObject>
      </mc:Choice>
      <mc:Fallback>
        <oleObject shapeId="1120" progId="Equation.KSEE3" r:id="rId8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2"/>
  <sheetViews>
    <sheetView topLeftCell="A24" workbookViewId="0">
      <selection activeCell="B3" sqref="B3:F46"/>
    </sheetView>
  </sheetViews>
  <sheetFormatPr defaultColWidth="9" defaultRowHeight="15.75"/>
  <cols>
    <col min="1" max="1" width="9" style="22"/>
    <col min="2" max="8" width="9.875" style="22" customWidth="1"/>
    <col min="9" max="10" width="9" style="22"/>
    <col min="11" max="17" width="10.625" style="22" customWidth="1"/>
    <col min="18" max="19" width="9" style="22"/>
    <col min="20" max="25" width="11.25" style="22" customWidth="1"/>
    <col min="26" max="28" width="9" style="22"/>
    <col min="29" max="34" width="11.25" style="22" customWidth="1"/>
    <col min="35" max="16384" width="9" style="22"/>
  </cols>
  <sheetData>
    <row r="1" ht="19.5" spans="1:34">
      <c r="A1" s="115" t="s">
        <v>58</v>
      </c>
      <c r="J1" s="115" t="s">
        <v>59</v>
      </c>
      <c r="S1" s="115" t="s">
        <v>60</v>
      </c>
      <c r="AB1" s="115" t="s">
        <v>61</v>
      </c>
    </row>
    <row r="2" spans="1:34">
      <c r="A2" s="115" t="s">
        <v>62</v>
      </c>
      <c r="B2" s="22" t="s">
        <v>63</v>
      </c>
      <c r="C2" s="22" t="s">
        <v>64</v>
      </c>
      <c r="D2" s="22" t="s">
        <v>65</v>
      </c>
      <c r="E2" s="22" t="s">
        <v>66</v>
      </c>
      <c r="F2" s="22" t="s">
        <v>67</v>
      </c>
      <c r="G2" s="22" t="s">
        <v>68</v>
      </c>
      <c r="J2" s="115" t="s">
        <v>62</v>
      </c>
      <c r="K2" s="22" t="s">
        <v>63</v>
      </c>
      <c r="L2" s="22" t="s">
        <v>64</v>
      </c>
      <c r="M2" s="22" t="s">
        <v>65</v>
      </c>
      <c r="N2" s="22" t="s">
        <v>66</v>
      </c>
      <c r="O2" s="22" t="s">
        <v>67</v>
      </c>
      <c r="P2" s="22" t="s">
        <v>68</v>
      </c>
      <c r="S2" s="115" t="s">
        <v>62</v>
      </c>
      <c r="T2" s="22" t="s">
        <v>63</v>
      </c>
      <c r="U2" s="22" t="s">
        <v>64</v>
      </c>
      <c r="V2" s="22" t="s">
        <v>65</v>
      </c>
      <c r="W2" s="22" t="s">
        <v>66</v>
      </c>
      <c r="X2" s="22" t="s">
        <v>67</v>
      </c>
      <c r="Y2" s="22" t="s">
        <v>68</v>
      </c>
      <c r="AB2" s="115" t="s">
        <v>62</v>
      </c>
      <c r="AC2" s="22" t="s">
        <v>63</v>
      </c>
      <c r="AD2" s="22" t="s">
        <v>64</v>
      </c>
      <c r="AE2" s="22" t="s">
        <v>65</v>
      </c>
      <c r="AF2" s="22" t="s">
        <v>66</v>
      </c>
      <c r="AG2" s="22" t="s">
        <v>67</v>
      </c>
      <c r="AH2" s="22" t="s">
        <v>68</v>
      </c>
    </row>
    <row r="3" spans="1:34">
      <c r="A3" s="22">
        <v>1</v>
      </c>
      <c r="B3" s="22">
        <v>257.68</v>
      </c>
      <c r="C3" s="22">
        <v>265.06</v>
      </c>
      <c r="D3" s="22">
        <v>269.72</v>
      </c>
      <c r="E3" s="22">
        <v>269.92</v>
      </c>
      <c r="F3" s="22">
        <v>277.17</v>
      </c>
      <c r="G3" s="22">
        <v>259.54</v>
      </c>
      <c r="J3" s="22">
        <v>1</v>
      </c>
      <c r="K3" s="22">
        <v>454.82</v>
      </c>
      <c r="L3" s="22">
        <v>432.71</v>
      </c>
      <c r="M3" s="22">
        <v>497.56</v>
      </c>
      <c r="N3" s="22">
        <v>487.89</v>
      </c>
      <c r="O3" s="22">
        <v>489.78</v>
      </c>
      <c r="P3" s="22">
        <v>416.63</v>
      </c>
      <c r="S3" s="22">
        <v>1</v>
      </c>
      <c r="T3" s="22">
        <v>553.93</v>
      </c>
      <c r="U3" s="22">
        <v>633.75</v>
      </c>
      <c r="V3" s="22">
        <v>624.74</v>
      </c>
      <c r="W3" s="22">
        <v>616.9</v>
      </c>
      <c r="X3" s="22">
        <v>566.07</v>
      </c>
      <c r="Y3" s="22">
        <v>568.09</v>
      </c>
      <c r="AB3" s="22">
        <v>1</v>
      </c>
      <c r="AC3" s="22">
        <v>1032.2</v>
      </c>
      <c r="AD3" s="22">
        <v>1052.76</v>
      </c>
      <c r="AE3" s="22">
        <v>1064.64</v>
      </c>
      <c r="AF3" s="22">
        <v>1031.36</v>
      </c>
      <c r="AG3" s="22">
        <v>1073.18</v>
      </c>
      <c r="AH3" s="22">
        <v>1018.65</v>
      </c>
    </row>
    <row r="4" spans="1:34">
      <c r="A4" s="22">
        <v>2</v>
      </c>
      <c r="B4" s="22">
        <v>227.68</v>
      </c>
      <c r="C4" s="22">
        <v>245.06</v>
      </c>
      <c r="D4" s="22">
        <v>234.29</v>
      </c>
      <c r="E4" s="22">
        <v>255.69</v>
      </c>
      <c r="F4" s="22">
        <v>266.89</v>
      </c>
      <c r="G4" s="22">
        <v>256.69</v>
      </c>
      <c r="J4" s="22">
        <v>2</v>
      </c>
      <c r="K4" s="22">
        <v>432.87</v>
      </c>
      <c r="L4" s="22">
        <v>410.4</v>
      </c>
      <c r="M4" s="22">
        <v>470.48</v>
      </c>
      <c r="N4" s="22">
        <v>465.26</v>
      </c>
      <c r="O4" s="22">
        <v>464.78</v>
      </c>
      <c r="P4" s="22">
        <v>407.03</v>
      </c>
      <c r="S4" s="22">
        <v>2</v>
      </c>
      <c r="T4" s="22">
        <v>548.29</v>
      </c>
      <c r="U4" s="22">
        <v>603.75</v>
      </c>
      <c r="V4" s="22">
        <v>578.67</v>
      </c>
      <c r="W4" s="22">
        <v>570.83</v>
      </c>
      <c r="X4" s="22">
        <v>566.07</v>
      </c>
      <c r="Y4" s="22">
        <v>502.61</v>
      </c>
      <c r="AB4" s="22">
        <v>2</v>
      </c>
      <c r="AC4" s="22">
        <v>1031.23</v>
      </c>
      <c r="AD4" s="22">
        <v>1016.45</v>
      </c>
      <c r="AE4" s="22">
        <v>1040.77</v>
      </c>
      <c r="AF4" s="22">
        <v>1020.34</v>
      </c>
      <c r="AG4" s="22">
        <v>1036.72</v>
      </c>
      <c r="AH4" s="22">
        <v>965.17</v>
      </c>
    </row>
    <row r="5" spans="1:34">
      <c r="A5" s="22">
        <v>3</v>
      </c>
      <c r="B5" s="22">
        <v>227.68</v>
      </c>
      <c r="C5" s="22">
        <v>245.06</v>
      </c>
      <c r="D5" s="22">
        <v>234.29</v>
      </c>
      <c r="E5" s="22">
        <v>249.22</v>
      </c>
      <c r="F5" s="22">
        <v>247.74</v>
      </c>
      <c r="G5" s="22">
        <v>232.48</v>
      </c>
      <c r="J5" s="22">
        <v>3</v>
      </c>
      <c r="K5" s="22">
        <v>423.87</v>
      </c>
      <c r="L5" s="22">
        <v>394.34</v>
      </c>
      <c r="M5" s="22">
        <v>432.94</v>
      </c>
      <c r="N5" s="22">
        <v>438.01</v>
      </c>
      <c r="O5" s="22">
        <v>459.78</v>
      </c>
      <c r="P5" s="22">
        <v>407.03</v>
      </c>
      <c r="S5" s="22">
        <v>3</v>
      </c>
      <c r="T5" s="22">
        <v>547.41</v>
      </c>
      <c r="U5" s="22">
        <v>535.58</v>
      </c>
      <c r="V5" s="22">
        <v>534.84</v>
      </c>
      <c r="W5" s="22">
        <v>527</v>
      </c>
      <c r="X5" s="22">
        <v>545.09</v>
      </c>
      <c r="Y5" s="22">
        <v>502.61</v>
      </c>
      <c r="AB5" s="22">
        <v>3</v>
      </c>
      <c r="AC5" s="22">
        <v>991.63</v>
      </c>
      <c r="AD5" s="22">
        <v>1016.45</v>
      </c>
      <c r="AE5" s="22">
        <v>1021.15</v>
      </c>
      <c r="AF5" s="22">
        <v>1016.88</v>
      </c>
      <c r="AG5" s="22">
        <v>982.8</v>
      </c>
      <c r="AH5" s="22">
        <v>965.17</v>
      </c>
    </row>
    <row r="6" spans="1:34">
      <c r="A6" s="22">
        <v>4</v>
      </c>
      <c r="B6" s="22">
        <v>227.68</v>
      </c>
      <c r="C6" s="22">
        <v>245.06</v>
      </c>
      <c r="D6" s="22">
        <v>234.29</v>
      </c>
      <c r="E6" s="22">
        <v>235.82</v>
      </c>
      <c r="F6" s="22">
        <v>247.74</v>
      </c>
      <c r="G6" s="22">
        <v>232.48</v>
      </c>
      <c r="J6" s="22">
        <v>4</v>
      </c>
      <c r="K6" s="22">
        <v>423.87</v>
      </c>
      <c r="L6" s="22">
        <v>394.34</v>
      </c>
      <c r="M6" s="22">
        <v>412.93</v>
      </c>
      <c r="N6" s="22">
        <v>429.47</v>
      </c>
      <c r="O6" s="22">
        <v>449.18</v>
      </c>
      <c r="P6" s="22">
        <v>407.03</v>
      </c>
      <c r="S6" s="22">
        <v>4</v>
      </c>
      <c r="T6" s="22">
        <v>525.42</v>
      </c>
      <c r="U6" s="22">
        <v>535.58</v>
      </c>
      <c r="V6" s="22">
        <v>534.84</v>
      </c>
      <c r="W6" s="22">
        <v>527</v>
      </c>
      <c r="X6" s="22">
        <v>545.09</v>
      </c>
      <c r="Y6" s="22">
        <v>485.27</v>
      </c>
      <c r="AB6" s="22">
        <v>4</v>
      </c>
      <c r="AC6" s="22">
        <v>991.63</v>
      </c>
      <c r="AD6" s="22">
        <v>1016.45</v>
      </c>
      <c r="AE6" s="22">
        <v>977.95</v>
      </c>
      <c r="AF6" s="22">
        <v>1016.88</v>
      </c>
      <c r="AG6" s="22">
        <v>961.03</v>
      </c>
      <c r="AH6" s="22">
        <v>964.97</v>
      </c>
    </row>
    <row r="7" spans="1:34">
      <c r="A7" s="22">
        <v>5</v>
      </c>
      <c r="B7" s="22">
        <v>227.68</v>
      </c>
      <c r="C7" s="22">
        <v>245.06</v>
      </c>
      <c r="D7" s="22">
        <v>222.83</v>
      </c>
      <c r="E7" s="22">
        <v>235.82</v>
      </c>
      <c r="F7" s="22">
        <v>236.02</v>
      </c>
      <c r="G7" s="22">
        <v>232.48</v>
      </c>
      <c r="J7" s="22">
        <v>5</v>
      </c>
      <c r="K7" s="22">
        <v>409.19</v>
      </c>
      <c r="L7" s="22">
        <v>376.93</v>
      </c>
      <c r="M7" s="22">
        <v>362.06</v>
      </c>
      <c r="N7" s="22">
        <v>414.03</v>
      </c>
      <c r="O7" s="22">
        <v>445.17</v>
      </c>
      <c r="P7" s="22">
        <v>395.97</v>
      </c>
      <c r="S7" s="22">
        <v>5</v>
      </c>
      <c r="T7" s="22">
        <v>525.42</v>
      </c>
      <c r="U7" s="22">
        <v>535.58</v>
      </c>
      <c r="V7" s="22">
        <v>534.84</v>
      </c>
      <c r="W7" s="22">
        <v>527</v>
      </c>
      <c r="X7" s="22">
        <v>545.09</v>
      </c>
      <c r="Y7" s="22">
        <v>485.27</v>
      </c>
      <c r="AB7" s="22">
        <v>5</v>
      </c>
      <c r="AC7" s="22">
        <v>991.63</v>
      </c>
      <c r="AD7" s="22">
        <v>1016.45</v>
      </c>
      <c r="AE7" s="22">
        <v>977.95</v>
      </c>
      <c r="AF7" s="22">
        <v>990.82</v>
      </c>
      <c r="AG7" s="22">
        <v>961.03</v>
      </c>
      <c r="AH7" s="22">
        <v>964.97</v>
      </c>
    </row>
    <row r="8" spans="1:34">
      <c r="A8" s="22">
        <v>6</v>
      </c>
      <c r="B8" s="22">
        <v>227.68</v>
      </c>
      <c r="C8" s="22">
        <v>245.06</v>
      </c>
      <c r="D8" s="22">
        <v>222.83</v>
      </c>
      <c r="E8" s="22">
        <v>235.82</v>
      </c>
      <c r="F8" s="22">
        <v>236.02</v>
      </c>
      <c r="G8" s="22">
        <v>197.55</v>
      </c>
      <c r="J8" s="22">
        <v>6</v>
      </c>
      <c r="K8" s="22">
        <v>409.19</v>
      </c>
      <c r="L8" s="22">
        <v>376.93</v>
      </c>
      <c r="M8" s="22">
        <v>362.06</v>
      </c>
      <c r="N8" s="22">
        <v>414.03</v>
      </c>
      <c r="O8" s="22">
        <v>440.1</v>
      </c>
      <c r="P8" s="22">
        <v>395.97</v>
      </c>
      <c r="S8" s="22">
        <v>6</v>
      </c>
      <c r="T8" s="22">
        <v>522.87</v>
      </c>
      <c r="U8" s="22">
        <v>535.58</v>
      </c>
      <c r="V8" s="22">
        <v>534.84</v>
      </c>
      <c r="W8" s="22">
        <v>527</v>
      </c>
      <c r="X8" s="22">
        <v>545.09</v>
      </c>
      <c r="Y8" s="22">
        <v>485.27</v>
      </c>
      <c r="AB8" s="22">
        <v>6</v>
      </c>
      <c r="AC8" s="22">
        <v>991.63</v>
      </c>
      <c r="AD8" s="22">
        <v>1016.45</v>
      </c>
      <c r="AE8" s="22">
        <v>964.28</v>
      </c>
      <c r="AF8" s="22">
        <v>975.39</v>
      </c>
      <c r="AG8" s="22">
        <v>960.55</v>
      </c>
      <c r="AH8" s="22">
        <v>959.52</v>
      </c>
    </row>
    <row r="9" spans="1:34">
      <c r="A9" s="22">
        <v>7</v>
      </c>
      <c r="B9" s="22">
        <v>227.68</v>
      </c>
      <c r="C9" s="22">
        <v>236.95</v>
      </c>
      <c r="D9" s="22">
        <v>222.83</v>
      </c>
      <c r="E9" s="22">
        <v>235.82</v>
      </c>
      <c r="F9" s="22">
        <v>236.02</v>
      </c>
      <c r="G9" s="22">
        <v>197.55</v>
      </c>
      <c r="J9" s="22">
        <v>7</v>
      </c>
      <c r="K9" s="22">
        <v>394.26</v>
      </c>
      <c r="L9" s="22">
        <v>365.2</v>
      </c>
      <c r="M9" s="22">
        <v>362.06</v>
      </c>
      <c r="N9" s="22">
        <v>391.06</v>
      </c>
      <c r="O9" s="22">
        <v>433.37</v>
      </c>
      <c r="P9" s="22">
        <v>395.97</v>
      </c>
      <c r="S9" s="22">
        <v>7</v>
      </c>
      <c r="T9" s="22">
        <v>522.87</v>
      </c>
      <c r="U9" s="22">
        <v>535.58</v>
      </c>
      <c r="V9" s="22">
        <v>534.84</v>
      </c>
      <c r="W9" s="22">
        <v>527</v>
      </c>
      <c r="X9" s="22">
        <v>545.09</v>
      </c>
      <c r="Y9" s="22">
        <v>485.27</v>
      </c>
      <c r="AB9" s="22">
        <v>7</v>
      </c>
      <c r="AC9" s="22">
        <v>991.63</v>
      </c>
      <c r="AD9" s="22">
        <v>1004.22</v>
      </c>
      <c r="AE9" s="22">
        <v>964.28</v>
      </c>
      <c r="AF9" s="22">
        <v>953.82</v>
      </c>
      <c r="AG9" s="22">
        <v>947.51</v>
      </c>
      <c r="AH9" s="22">
        <v>959.52</v>
      </c>
    </row>
    <row r="10" spans="1:34">
      <c r="A10" s="22">
        <v>8</v>
      </c>
      <c r="B10" s="22">
        <v>227.68</v>
      </c>
      <c r="C10" s="22">
        <v>236.95</v>
      </c>
      <c r="D10" s="22">
        <v>222.83</v>
      </c>
      <c r="E10" s="22">
        <v>235.82</v>
      </c>
      <c r="F10" s="22">
        <v>236.02</v>
      </c>
      <c r="G10" s="22">
        <v>197.55</v>
      </c>
      <c r="J10" s="22">
        <v>8</v>
      </c>
      <c r="K10" s="22">
        <v>394.26</v>
      </c>
      <c r="L10" s="22">
        <v>365.06</v>
      </c>
      <c r="M10" s="22">
        <v>362.06</v>
      </c>
      <c r="N10" s="22">
        <v>391.06</v>
      </c>
      <c r="O10" s="22">
        <v>432.9</v>
      </c>
      <c r="P10" s="22">
        <v>395.97</v>
      </c>
      <c r="S10" s="22">
        <v>8</v>
      </c>
      <c r="T10" s="22">
        <v>522.87</v>
      </c>
      <c r="U10" s="22">
        <v>535.58</v>
      </c>
      <c r="V10" s="22">
        <v>534.84</v>
      </c>
      <c r="W10" s="22">
        <v>527</v>
      </c>
      <c r="X10" s="22">
        <v>536.25</v>
      </c>
      <c r="Y10" s="22">
        <v>485.27</v>
      </c>
      <c r="AB10" s="22">
        <v>8</v>
      </c>
      <c r="AC10" s="22">
        <v>991.63</v>
      </c>
      <c r="AD10" s="22">
        <v>1004.22</v>
      </c>
      <c r="AE10" s="22">
        <v>945.06</v>
      </c>
      <c r="AF10" s="22">
        <v>953.82</v>
      </c>
      <c r="AG10" s="22">
        <v>947.51</v>
      </c>
      <c r="AH10" s="22">
        <v>888.66</v>
      </c>
    </row>
    <row r="11" spans="1:34">
      <c r="A11" s="22">
        <v>9</v>
      </c>
      <c r="B11" s="22">
        <v>221.8</v>
      </c>
      <c r="C11" s="22">
        <v>236.95</v>
      </c>
      <c r="D11" s="22">
        <v>220.2</v>
      </c>
      <c r="E11" s="22">
        <v>235.82</v>
      </c>
      <c r="F11" s="22">
        <v>236.02</v>
      </c>
      <c r="G11" s="22">
        <v>197.55</v>
      </c>
      <c r="J11" s="22">
        <v>9</v>
      </c>
      <c r="K11" s="22">
        <v>392.38</v>
      </c>
      <c r="L11" s="22">
        <v>365.06</v>
      </c>
      <c r="M11" s="22">
        <v>362.06</v>
      </c>
      <c r="N11" s="22">
        <v>391.06</v>
      </c>
      <c r="O11" s="22">
        <v>432.9</v>
      </c>
      <c r="P11" s="22">
        <v>395.97</v>
      </c>
      <c r="S11" s="22">
        <v>9</v>
      </c>
      <c r="T11" s="22">
        <v>522.87</v>
      </c>
      <c r="U11" s="22">
        <v>535.58</v>
      </c>
      <c r="V11" s="22">
        <v>501.62</v>
      </c>
      <c r="W11" s="22">
        <v>493.78</v>
      </c>
      <c r="X11" s="22">
        <v>528.55</v>
      </c>
      <c r="Y11" s="22">
        <v>485.27</v>
      </c>
      <c r="AB11" s="22">
        <v>9</v>
      </c>
      <c r="AC11" s="22">
        <v>991.63</v>
      </c>
      <c r="AD11" s="22">
        <v>1004.22</v>
      </c>
      <c r="AE11" s="22">
        <v>945.06</v>
      </c>
      <c r="AF11" s="22">
        <v>953.82</v>
      </c>
      <c r="AG11" s="22">
        <v>922.46</v>
      </c>
      <c r="AH11" s="22">
        <v>888.66</v>
      </c>
    </row>
    <row r="12" spans="1:34">
      <c r="A12" s="22">
        <v>10</v>
      </c>
      <c r="B12" s="22">
        <v>221.8</v>
      </c>
      <c r="C12" s="22">
        <v>236.95</v>
      </c>
      <c r="D12" s="22">
        <v>220.2</v>
      </c>
      <c r="E12" s="22">
        <v>235.82</v>
      </c>
      <c r="F12" s="22">
        <v>236.02</v>
      </c>
      <c r="G12" s="22">
        <v>197.55</v>
      </c>
      <c r="J12" s="22">
        <v>10</v>
      </c>
      <c r="K12" s="22">
        <v>392.38</v>
      </c>
      <c r="L12" s="22">
        <v>365.06</v>
      </c>
      <c r="M12" s="22">
        <v>362.06</v>
      </c>
      <c r="N12" s="22">
        <v>377.22</v>
      </c>
      <c r="O12" s="22">
        <v>432.9</v>
      </c>
      <c r="P12" s="22">
        <v>395.97</v>
      </c>
      <c r="S12" s="22">
        <v>10</v>
      </c>
      <c r="T12" s="22">
        <v>522.87</v>
      </c>
      <c r="U12" s="22">
        <v>535.58</v>
      </c>
      <c r="V12" s="22">
        <v>501.62</v>
      </c>
      <c r="W12" s="22">
        <v>493.78</v>
      </c>
      <c r="X12" s="22">
        <v>528.55</v>
      </c>
      <c r="Y12" s="22">
        <v>467.85</v>
      </c>
      <c r="AB12" s="22">
        <v>10</v>
      </c>
      <c r="AC12" s="22">
        <v>957.88</v>
      </c>
      <c r="AD12" s="22">
        <v>1004.22</v>
      </c>
      <c r="AE12" s="22">
        <v>945.06</v>
      </c>
      <c r="AF12" s="22">
        <v>924.79</v>
      </c>
      <c r="AG12" s="22">
        <v>922.46</v>
      </c>
      <c r="AH12" s="22">
        <v>888.66</v>
      </c>
    </row>
    <row r="13" spans="1:34">
      <c r="A13" s="22">
        <v>11</v>
      </c>
      <c r="B13" s="22">
        <v>221.8</v>
      </c>
      <c r="C13" s="22">
        <v>236.95</v>
      </c>
      <c r="D13" s="22">
        <v>220.2</v>
      </c>
      <c r="E13" s="22">
        <v>235.82</v>
      </c>
      <c r="F13" s="22">
        <v>236.02</v>
      </c>
      <c r="G13" s="22">
        <v>197.55</v>
      </c>
      <c r="J13" s="22">
        <v>11</v>
      </c>
      <c r="K13" s="22">
        <v>392.38</v>
      </c>
      <c r="L13" s="22">
        <v>365.06</v>
      </c>
      <c r="M13" s="22">
        <v>362.06</v>
      </c>
      <c r="N13" s="22">
        <v>377.22</v>
      </c>
      <c r="O13" s="22">
        <v>432.9</v>
      </c>
      <c r="P13" s="22">
        <v>381.95</v>
      </c>
      <c r="S13" s="22">
        <v>11</v>
      </c>
      <c r="T13" s="22">
        <v>520.23</v>
      </c>
      <c r="U13" s="22">
        <v>535.58</v>
      </c>
      <c r="V13" s="22">
        <v>497.91</v>
      </c>
      <c r="W13" s="22">
        <v>490.07</v>
      </c>
      <c r="X13" s="22">
        <v>524.93</v>
      </c>
      <c r="Y13" s="22">
        <v>467.85</v>
      </c>
      <c r="AB13" s="22">
        <v>11</v>
      </c>
      <c r="AC13" s="22">
        <v>957.88</v>
      </c>
      <c r="AD13" s="22">
        <v>997.8</v>
      </c>
      <c r="AE13" s="22">
        <v>945.06</v>
      </c>
      <c r="AF13" s="22">
        <v>924.79</v>
      </c>
      <c r="AG13" s="22">
        <v>922.46</v>
      </c>
      <c r="AH13" s="22">
        <v>888.5</v>
      </c>
    </row>
    <row r="14" spans="1:34">
      <c r="A14" s="22">
        <v>12</v>
      </c>
      <c r="B14" s="22">
        <v>221.8</v>
      </c>
      <c r="C14" s="22">
        <v>236.95</v>
      </c>
      <c r="D14" s="22">
        <v>220.2</v>
      </c>
      <c r="E14" s="22">
        <v>235.82</v>
      </c>
      <c r="F14" s="22">
        <v>236.02</v>
      </c>
      <c r="G14" s="22">
        <v>197.55</v>
      </c>
      <c r="J14" s="22">
        <v>12</v>
      </c>
      <c r="K14" s="22">
        <v>390.81</v>
      </c>
      <c r="L14" s="22">
        <v>365.06</v>
      </c>
      <c r="M14" s="22">
        <v>343.86</v>
      </c>
      <c r="N14" s="22">
        <v>374.43</v>
      </c>
      <c r="O14" s="22">
        <v>399.65</v>
      </c>
      <c r="P14" s="22">
        <v>352.08</v>
      </c>
      <c r="S14" s="22">
        <v>12</v>
      </c>
      <c r="T14" s="22">
        <v>520.23</v>
      </c>
      <c r="U14" s="22">
        <v>535.58</v>
      </c>
      <c r="V14" s="22">
        <v>497.91</v>
      </c>
      <c r="W14" s="22">
        <v>490.07</v>
      </c>
      <c r="X14" s="22">
        <v>524.93</v>
      </c>
      <c r="Y14" s="22">
        <v>467.85</v>
      </c>
      <c r="AB14" s="22">
        <v>12</v>
      </c>
      <c r="AC14" s="22">
        <v>957.88</v>
      </c>
      <c r="AD14" s="22">
        <v>997.8</v>
      </c>
      <c r="AE14" s="22">
        <v>945.06</v>
      </c>
      <c r="AF14" s="22">
        <v>924.79</v>
      </c>
      <c r="AG14" s="22">
        <v>922.46</v>
      </c>
      <c r="AH14" s="22">
        <v>888.5</v>
      </c>
    </row>
    <row r="15" spans="1:34">
      <c r="A15" s="22">
        <v>13</v>
      </c>
      <c r="B15" s="22">
        <v>221.56</v>
      </c>
      <c r="C15" s="22">
        <v>236.95</v>
      </c>
      <c r="D15" s="22">
        <v>211.1</v>
      </c>
      <c r="E15" s="22">
        <v>210.06</v>
      </c>
      <c r="F15" s="22">
        <v>236.02</v>
      </c>
      <c r="G15" s="22">
        <v>197.55</v>
      </c>
      <c r="J15" s="22">
        <v>13</v>
      </c>
      <c r="K15" s="22">
        <v>390.81</v>
      </c>
      <c r="L15" s="22">
        <v>365.06</v>
      </c>
      <c r="M15" s="22">
        <v>343.86</v>
      </c>
      <c r="N15" s="22">
        <v>374.43</v>
      </c>
      <c r="O15" s="22">
        <v>399.65</v>
      </c>
      <c r="P15" s="22">
        <v>352.08</v>
      </c>
      <c r="S15" s="22">
        <v>13</v>
      </c>
      <c r="T15" s="22">
        <v>520.23</v>
      </c>
      <c r="U15" s="22">
        <v>535.58</v>
      </c>
      <c r="V15" s="22">
        <v>497.91</v>
      </c>
      <c r="W15" s="22">
        <v>490.07</v>
      </c>
      <c r="X15" s="22">
        <v>519.79</v>
      </c>
      <c r="Y15" s="22">
        <v>467.85</v>
      </c>
      <c r="AB15" s="22">
        <v>13</v>
      </c>
      <c r="AC15" s="22">
        <v>957.88</v>
      </c>
      <c r="AD15" s="22">
        <v>997.8</v>
      </c>
      <c r="AE15" s="22">
        <v>945.06</v>
      </c>
      <c r="AF15" s="22">
        <v>924.79</v>
      </c>
      <c r="AG15" s="22">
        <v>922.46</v>
      </c>
      <c r="AH15" s="22">
        <v>888.5</v>
      </c>
    </row>
    <row r="16" spans="1:34">
      <c r="A16" s="22">
        <v>14</v>
      </c>
      <c r="B16" s="22">
        <v>221.56</v>
      </c>
      <c r="C16" s="22">
        <v>236.95</v>
      </c>
      <c r="D16" s="22">
        <v>208.92</v>
      </c>
      <c r="E16" s="22">
        <v>210.06</v>
      </c>
      <c r="F16" s="22">
        <v>236.02</v>
      </c>
      <c r="G16" s="22">
        <v>197.55</v>
      </c>
      <c r="J16" s="22">
        <v>14</v>
      </c>
      <c r="K16" s="22">
        <v>390.81</v>
      </c>
      <c r="L16" s="22">
        <v>365.06</v>
      </c>
      <c r="M16" s="22">
        <v>343.86</v>
      </c>
      <c r="N16" s="22">
        <v>374.33</v>
      </c>
      <c r="O16" s="22">
        <v>386.48</v>
      </c>
      <c r="P16" s="22">
        <v>352.08</v>
      </c>
      <c r="S16" s="22">
        <v>14</v>
      </c>
      <c r="T16" s="22">
        <v>516.97</v>
      </c>
      <c r="U16" s="22">
        <v>535.58</v>
      </c>
      <c r="V16" s="22">
        <v>497.91</v>
      </c>
      <c r="W16" s="22">
        <v>490.07</v>
      </c>
      <c r="X16" s="22">
        <v>519.79</v>
      </c>
      <c r="Y16" s="22">
        <v>467.85</v>
      </c>
      <c r="AB16" s="22">
        <v>14</v>
      </c>
      <c r="AC16" s="22">
        <v>957.88</v>
      </c>
      <c r="AD16" s="22">
        <v>985.8</v>
      </c>
      <c r="AE16" s="22">
        <v>945.06</v>
      </c>
      <c r="AF16" s="22">
        <v>924.79</v>
      </c>
      <c r="AG16" s="22">
        <v>922.46</v>
      </c>
      <c r="AH16" s="22">
        <v>876.37</v>
      </c>
    </row>
    <row r="17" spans="1:34">
      <c r="A17" s="22">
        <v>15</v>
      </c>
      <c r="B17" s="22">
        <v>221.56</v>
      </c>
      <c r="C17" s="22">
        <v>236.95</v>
      </c>
      <c r="D17" s="22">
        <v>208.92</v>
      </c>
      <c r="E17" s="22">
        <v>210.06</v>
      </c>
      <c r="F17" s="22">
        <v>236.02</v>
      </c>
      <c r="G17" s="22">
        <v>197.55</v>
      </c>
      <c r="J17" s="22">
        <v>15</v>
      </c>
      <c r="K17" s="22">
        <v>390.81</v>
      </c>
      <c r="L17" s="22">
        <v>365.06</v>
      </c>
      <c r="M17" s="22">
        <v>343.86</v>
      </c>
      <c r="N17" s="22">
        <v>373.08</v>
      </c>
      <c r="O17" s="22">
        <v>386.48</v>
      </c>
      <c r="P17" s="22">
        <v>352.08</v>
      </c>
      <c r="S17" s="22">
        <v>15</v>
      </c>
      <c r="T17" s="22">
        <v>516.97</v>
      </c>
      <c r="U17" s="22">
        <v>530.7</v>
      </c>
      <c r="V17" s="22">
        <v>497.91</v>
      </c>
      <c r="W17" s="22">
        <v>490.07</v>
      </c>
      <c r="X17" s="22">
        <v>519.79</v>
      </c>
      <c r="Y17" s="22">
        <v>467.85</v>
      </c>
      <c r="AB17" s="22">
        <v>15</v>
      </c>
      <c r="AC17" s="22">
        <v>957.88</v>
      </c>
      <c r="AD17" s="22">
        <v>985.8</v>
      </c>
      <c r="AE17" s="22">
        <v>945.06</v>
      </c>
      <c r="AF17" s="22">
        <v>924.79</v>
      </c>
      <c r="AG17" s="22">
        <v>915.86</v>
      </c>
      <c r="AH17" s="22">
        <v>876.37</v>
      </c>
    </row>
    <row r="18" spans="1:34">
      <c r="A18" s="22">
        <v>16</v>
      </c>
      <c r="B18" s="22">
        <v>221.56</v>
      </c>
      <c r="C18" s="22">
        <v>236.95</v>
      </c>
      <c r="D18" s="22">
        <v>208.92</v>
      </c>
      <c r="E18" s="22">
        <v>210.06</v>
      </c>
      <c r="F18" s="22">
        <v>236.02</v>
      </c>
      <c r="G18" s="22">
        <v>197.55</v>
      </c>
      <c r="J18" s="22">
        <v>16</v>
      </c>
      <c r="K18" s="22">
        <v>390.81</v>
      </c>
      <c r="L18" s="22">
        <v>365.06</v>
      </c>
      <c r="M18" s="22">
        <v>343.86</v>
      </c>
      <c r="N18" s="22">
        <v>373.08</v>
      </c>
      <c r="O18" s="22">
        <v>382.26</v>
      </c>
      <c r="P18" s="22">
        <v>352.08</v>
      </c>
      <c r="S18" s="22">
        <v>16</v>
      </c>
      <c r="T18" s="22">
        <v>516.86</v>
      </c>
      <c r="U18" s="22">
        <v>530.7</v>
      </c>
      <c r="V18" s="22">
        <v>481.04</v>
      </c>
      <c r="W18" s="22">
        <v>473.2</v>
      </c>
      <c r="X18" s="22">
        <v>462.08</v>
      </c>
      <c r="Y18" s="22">
        <v>465.77</v>
      </c>
      <c r="AB18" s="22">
        <v>16</v>
      </c>
      <c r="AC18" s="22">
        <v>950.11</v>
      </c>
      <c r="AD18" s="22">
        <v>985.8</v>
      </c>
      <c r="AE18" s="22">
        <v>945.06</v>
      </c>
      <c r="AF18" s="22">
        <v>924.79</v>
      </c>
      <c r="AG18" s="22">
        <v>915.86</v>
      </c>
      <c r="AH18" s="22">
        <v>876.37</v>
      </c>
    </row>
    <row r="19" spans="1:34">
      <c r="A19" s="22">
        <v>17</v>
      </c>
      <c r="B19" s="22">
        <v>221.56</v>
      </c>
      <c r="C19" s="22">
        <v>236.95</v>
      </c>
      <c r="D19" s="22">
        <v>208.92</v>
      </c>
      <c r="E19" s="22">
        <v>210.06</v>
      </c>
      <c r="F19" s="22">
        <v>225.62</v>
      </c>
      <c r="G19" s="22">
        <v>197.55</v>
      </c>
      <c r="J19" s="22">
        <v>17</v>
      </c>
      <c r="K19" s="22">
        <v>390.81</v>
      </c>
      <c r="L19" s="22">
        <v>364.93</v>
      </c>
      <c r="M19" s="22">
        <v>343.86</v>
      </c>
      <c r="N19" s="22">
        <v>369.72</v>
      </c>
      <c r="O19" s="22">
        <v>382.26</v>
      </c>
      <c r="P19" s="22">
        <v>336.68</v>
      </c>
      <c r="S19" s="22">
        <v>17</v>
      </c>
      <c r="T19" s="22">
        <v>513.84</v>
      </c>
      <c r="U19" s="22">
        <v>530.7</v>
      </c>
      <c r="V19" s="22">
        <v>481.04</v>
      </c>
      <c r="W19" s="22">
        <v>473.2</v>
      </c>
      <c r="X19" s="22">
        <v>462.08</v>
      </c>
      <c r="Y19" s="22">
        <v>465.77</v>
      </c>
      <c r="AB19" s="22">
        <v>17</v>
      </c>
      <c r="AC19" s="22">
        <v>950.11</v>
      </c>
      <c r="AD19" s="22">
        <v>985.8</v>
      </c>
      <c r="AE19" s="22">
        <v>945.06</v>
      </c>
      <c r="AF19" s="22">
        <v>924.79</v>
      </c>
      <c r="AG19" s="22">
        <v>901.96</v>
      </c>
      <c r="AH19" s="22">
        <v>876.37</v>
      </c>
    </row>
    <row r="20" spans="1:34">
      <c r="A20" s="22">
        <v>18</v>
      </c>
      <c r="B20" s="22">
        <v>221.56</v>
      </c>
      <c r="C20" s="22">
        <v>236.95</v>
      </c>
      <c r="D20" s="22">
        <v>208.92</v>
      </c>
      <c r="E20" s="22">
        <v>210.06</v>
      </c>
      <c r="F20" s="22">
        <v>225.62</v>
      </c>
      <c r="G20" s="22">
        <v>197.55</v>
      </c>
      <c r="J20" s="22">
        <v>18</v>
      </c>
      <c r="K20" s="22">
        <v>389.13</v>
      </c>
      <c r="L20" s="22">
        <v>364.93</v>
      </c>
      <c r="M20" s="22">
        <v>343.86</v>
      </c>
      <c r="N20" s="22">
        <v>369.72</v>
      </c>
      <c r="O20" s="22">
        <v>382.26</v>
      </c>
      <c r="P20" s="22">
        <v>336.68</v>
      </c>
      <c r="S20" s="22">
        <v>18</v>
      </c>
      <c r="T20" s="22">
        <v>506.53</v>
      </c>
      <c r="U20" s="22">
        <v>530.7</v>
      </c>
      <c r="V20" s="22">
        <v>474.91</v>
      </c>
      <c r="W20" s="22">
        <v>467.07</v>
      </c>
      <c r="X20" s="22">
        <v>446.13</v>
      </c>
      <c r="Y20" s="22">
        <v>465.77</v>
      </c>
      <c r="AB20" s="22">
        <v>18</v>
      </c>
      <c r="AC20" s="22">
        <v>950.11</v>
      </c>
      <c r="AD20" s="22">
        <v>985.8</v>
      </c>
      <c r="AE20" s="22">
        <v>945.06</v>
      </c>
      <c r="AF20" s="22">
        <v>924.79</v>
      </c>
      <c r="AG20" s="22">
        <v>884.48</v>
      </c>
      <c r="AH20" s="22">
        <v>876.37</v>
      </c>
    </row>
    <row r="21" spans="1:34">
      <c r="A21" s="22">
        <v>19</v>
      </c>
      <c r="B21" s="22">
        <v>221.56</v>
      </c>
      <c r="C21" s="22">
        <v>230.77</v>
      </c>
      <c r="D21" s="22">
        <v>208.92</v>
      </c>
      <c r="E21" s="22">
        <v>210.06</v>
      </c>
      <c r="F21" s="22">
        <v>225.62</v>
      </c>
      <c r="G21" s="22">
        <v>197.55</v>
      </c>
      <c r="J21" s="22">
        <v>19</v>
      </c>
      <c r="K21" s="22">
        <v>389.13</v>
      </c>
      <c r="L21" s="22">
        <v>364.93</v>
      </c>
      <c r="M21" s="22">
        <v>343.86</v>
      </c>
      <c r="N21" s="22">
        <v>369.72</v>
      </c>
      <c r="O21" s="22">
        <v>361.4</v>
      </c>
      <c r="P21" s="22">
        <v>336.68</v>
      </c>
      <c r="S21" s="22">
        <v>19</v>
      </c>
      <c r="T21" s="22">
        <v>506.53</v>
      </c>
      <c r="U21" s="22">
        <v>530.7</v>
      </c>
      <c r="V21" s="22">
        <v>474.91</v>
      </c>
      <c r="W21" s="22">
        <v>467.07</v>
      </c>
      <c r="X21" s="22">
        <v>446.13</v>
      </c>
      <c r="Y21" s="22">
        <v>465.77</v>
      </c>
      <c r="AB21" s="22">
        <v>19</v>
      </c>
      <c r="AC21" s="22">
        <v>950.11</v>
      </c>
      <c r="AD21" s="22">
        <v>985.8</v>
      </c>
      <c r="AE21" s="22">
        <v>945.06</v>
      </c>
      <c r="AF21" s="22">
        <v>924.79</v>
      </c>
      <c r="AG21" s="22">
        <v>884.48</v>
      </c>
      <c r="AH21" s="22">
        <v>876.37</v>
      </c>
    </row>
    <row r="22" spans="1:34">
      <c r="A22" s="22">
        <v>20</v>
      </c>
      <c r="B22" s="22">
        <v>221.56</v>
      </c>
      <c r="C22" s="22">
        <v>230.77</v>
      </c>
      <c r="D22" s="22">
        <v>208.92</v>
      </c>
      <c r="E22" s="22">
        <v>206.45</v>
      </c>
      <c r="F22" s="22">
        <v>218.33</v>
      </c>
      <c r="G22" s="22">
        <v>197.55</v>
      </c>
      <c r="J22" s="22">
        <v>20</v>
      </c>
      <c r="K22" s="22">
        <v>379.72</v>
      </c>
      <c r="L22" s="22">
        <v>364.93</v>
      </c>
      <c r="M22" s="22">
        <v>343.86</v>
      </c>
      <c r="N22" s="22">
        <v>369.72</v>
      </c>
      <c r="O22" s="22">
        <v>361.4</v>
      </c>
      <c r="P22" s="22">
        <v>336.68</v>
      </c>
      <c r="S22" s="22">
        <v>20</v>
      </c>
      <c r="T22" s="22">
        <v>506.53</v>
      </c>
      <c r="U22" s="22">
        <v>530.7</v>
      </c>
      <c r="V22" s="22">
        <v>474.91</v>
      </c>
      <c r="W22" s="22">
        <v>467.07</v>
      </c>
      <c r="X22" s="22">
        <v>442.18</v>
      </c>
      <c r="Y22" s="22">
        <v>447.4</v>
      </c>
      <c r="AB22" s="22">
        <v>20</v>
      </c>
      <c r="AC22" s="22">
        <v>950.11</v>
      </c>
      <c r="AD22" s="22">
        <v>985.8</v>
      </c>
      <c r="AE22" s="22">
        <v>945.06</v>
      </c>
      <c r="AF22" s="22">
        <v>924.79</v>
      </c>
      <c r="AG22" s="22">
        <v>884.48</v>
      </c>
      <c r="AH22" s="22">
        <v>876.37</v>
      </c>
    </row>
    <row r="23" spans="1:34">
      <c r="A23" s="22">
        <v>21</v>
      </c>
      <c r="B23" s="22">
        <v>221.56</v>
      </c>
      <c r="C23" s="22">
        <v>230.77</v>
      </c>
      <c r="D23" s="22">
        <v>208.92</v>
      </c>
      <c r="E23" s="22">
        <v>206.45</v>
      </c>
      <c r="F23" s="22">
        <v>218.33</v>
      </c>
      <c r="G23" s="22">
        <v>197.55</v>
      </c>
      <c r="J23" s="22">
        <v>21</v>
      </c>
      <c r="K23" s="22">
        <v>379.72</v>
      </c>
      <c r="L23" s="22">
        <v>364.93</v>
      </c>
      <c r="M23" s="22">
        <v>343.86</v>
      </c>
      <c r="N23" s="22">
        <v>369.72</v>
      </c>
      <c r="O23" s="22">
        <v>361.4</v>
      </c>
      <c r="P23" s="22">
        <v>336.68</v>
      </c>
      <c r="S23" s="22">
        <v>21</v>
      </c>
      <c r="T23" s="22">
        <v>506.53</v>
      </c>
      <c r="U23" s="22">
        <v>530.7</v>
      </c>
      <c r="V23" s="22">
        <v>474.91</v>
      </c>
      <c r="W23" s="22">
        <v>467.07</v>
      </c>
      <c r="X23" s="22">
        <v>442.18</v>
      </c>
      <c r="Y23" s="22">
        <v>447.4</v>
      </c>
      <c r="AB23" s="22">
        <v>21</v>
      </c>
      <c r="AC23" s="22">
        <v>950.11</v>
      </c>
      <c r="AD23" s="22">
        <v>985.8</v>
      </c>
      <c r="AE23" s="22">
        <v>945.06</v>
      </c>
      <c r="AF23" s="22">
        <v>924.79</v>
      </c>
      <c r="AG23" s="22">
        <v>884.48</v>
      </c>
      <c r="AH23" s="22">
        <v>876.37</v>
      </c>
    </row>
    <row r="24" spans="1:34">
      <c r="A24" s="22">
        <v>22</v>
      </c>
      <c r="B24" s="22">
        <v>221.56</v>
      </c>
      <c r="C24" s="22">
        <v>230.77</v>
      </c>
      <c r="D24" s="22">
        <v>208.92</v>
      </c>
      <c r="E24" s="22">
        <v>205.17</v>
      </c>
      <c r="F24" s="22">
        <v>218.33</v>
      </c>
      <c r="G24" s="22">
        <v>197.55</v>
      </c>
      <c r="J24" s="22">
        <v>22</v>
      </c>
      <c r="K24" s="22">
        <v>379.72</v>
      </c>
      <c r="L24" s="22">
        <v>364.93</v>
      </c>
      <c r="M24" s="22">
        <v>343.86</v>
      </c>
      <c r="N24" s="22">
        <v>369.72</v>
      </c>
      <c r="O24" s="22">
        <v>361.4</v>
      </c>
      <c r="P24" s="22">
        <v>336.68</v>
      </c>
      <c r="S24" s="22">
        <v>22</v>
      </c>
      <c r="T24" s="22">
        <v>506.53</v>
      </c>
      <c r="U24" s="22">
        <v>530.7</v>
      </c>
      <c r="V24" s="22">
        <v>474.91</v>
      </c>
      <c r="W24" s="22">
        <v>467.07</v>
      </c>
      <c r="X24" s="22">
        <v>442.18</v>
      </c>
      <c r="Y24" s="22">
        <v>447.4</v>
      </c>
      <c r="AB24" s="22">
        <v>22</v>
      </c>
      <c r="AC24" s="22">
        <v>950.11</v>
      </c>
      <c r="AD24" s="22">
        <v>985.8</v>
      </c>
      <c r="AE24" s="22">
        <v>911.22</v>
      </c>
      <c r="AF24" s="22">
        <v>924.79</v>
      </c>
      <c r="AG24" s="22">
        <v>884.48</v>
      </c>
      <c r="AH24" s="22">
        <v>876.37</v>
      </c>
    </row>
    <row r="25" spans="1:34">
      <c r="A25" s="22">
        <v>23</v>
      </c>
      <c r="B25" s="22">
        <v>221.29</v>
      </c>
      <c r="C25" s="22">
        <v>230.77</v>
      </c>
      <c r="D25" s="22">
        <v>208.92</v>
      </c>
      <c r="E25" s="22">
        <v>205.17</v>
      </c>
      <c r="F25" s="22">
        <v>218.33</v>
      </c>
      <c r="G25" s="22">
        <v>197.55</v>
      </c>
      <c r="J25" s="22">
        <v>23</v>
      </c>
      <c r="K25" s="22">
        <v>379.12</v>
      </c>
      <c r="L25" s="22">
        <v>364.93</v>
      </c>
      <c r="M25" s="22">
        <v>343.86</v>
      </c>
      <c r="N25" s="22">
        <v>369.72</v>
      </c>
      <c r="O25" s="22">
        <v>361.4</v>
      </c>
      <c r="P25" s="22">
        <v>336.68</v>
      </c>
      <c r="S25" s="22">
        <v>23</v>
      </c>
      <c r="T25" s="22">
        <v>506.53</v>
      </c>
      <c r="U25" s="22">
        <v>530.7</v>
      </c>
      <c r="V25" s="22">
        <v>474.91</v>
      </c>
      <c r="W25" s="22">
        <v>467.07</v>
      </c>
      <c r="X25" s="22">
        <v>442.18</v>
      </c>
      <c r="Y25" s="22">
        <v>447.4</v>
      </c>
      <c r="AB25" s="22">
        <v>23</v>
      </c>
      <c r="AC25" s="22">
        <v>950.11</v>
      </c>
      <c r="AD25" s="22">
        <v>985.8</v>
      </c>
      <c r="AE25" s="22">
        <v>911.22</v>
      </c>
      <c r="AF25" s="22">
        <v>924.79</v>
      </c>
      <c r="AG25" s="22">
        <v>884.48</v>
      </c>
      <c r="AH25" s="22">
        <v>876.37</v>
      </c>
    </row>
    <row r="26" spans="1:34">
      <c r="A26" s="22">
        <v>24</v>
      </c>
      <c r="B26" s="22">
        <v>221.29</v>
      </c>
      <c r="C26" s="22">
        <v>230.77</v>
      </c>
      <c r="D26" s="22">
        <v>208.92</v>
      </c>
      <c r="E26" s="22">
        <v>205.17</v>
      </c>
      <c r="F26" s="22">
        <v>218.33</v>
      </c>
      <c r="G26" s="22">
        <v>197.55</v>
      </c>
      <c r="J26" s="22">
        <v>24</v>
      </c>
      <c r="K26" s="22">
        <v>377.65</v>
      </c>
      <c r="L26" s="22">
        <v>364.93</v>
      </c>
      <c r="M26" s="22">
        <v>343.86</v>
      </c>
      <c r="N26" s="22">
        <v>369.72</v>
      </c>
      <c r="O26" s="22">
        <v>361.4</v>
      </c>
      <c r="P26" s="22">
        <v>336.68</v>
      </c>
      <c r="S26" s="22">
        <v>24</v>
      </c>
      <c r="T26" s="22">
        <v>505.21</v>
      </c>
      <c r="U26" s="22">
        <v>530.7</v>
      </c>
      <c r="V26" s="22">
        <v>461.06</v>
      </c>
      <c r="W26" s="22">
        <v>453.22</v>
      </c>
      <c r="X26" s="22">
        <v>442.18</v>
      </c>
      <c r="Y26" s="22">
        <v>447.4</v>
      </c>
      <c r="AB26" s="22">
        <v>24</v>
      </c>
      <c r="AC26" s="22">
        <v>950.11</v>
      </c>
      <c r="AD26" s="22">
        <v>985.8</v>
      </c>
      <c r="AE26" s="22">
        <v>904.35</v>
      </c>
      <c r="AF26" s="22">
        <v>918.94</v>
      </c>
      <c r="AG26" s="22">
        <v>884.48</v>
      </c>
      <c r="AH26" s="22">
        <v>874.47</v>
      </c>
    </row>
    <row r="27" spans="1:34">
      <c r="A27" s="22">
        <v>25</v>
      </c>
      <c r="B27" s="22">
        <v>219.27</v>
      </c>
      <c r="C27" s="22">
        <v>228.16</v>
      </c>
      <c r="D27" s="22">
        <v>208.92</v>
      </c>
      <c r="E27" s="22">
        <v>205.17</v>
      </c>
      <c r="F27" s="22">
        <v>218.33</v>
      </c>
      <c r="G27" s="22">
        <v>196.49</v>
      </c>
      <c r="J27" s="22">
        <v>25</v>
      </c>
      <c r="K27" s="22">
        <v>377.65</v>
      </c>
      <c r="L27" s="22">
        <v>364.93</v>
      </c>
      <c r="M27" s="22">
        <v>343.86</v>
      </c>
      <c r="N27" s="22">
        <v>369.72</v>
      </c>
      <c r="O27" s="22">
        <v>361.4</v>
      </c>
      <c r="P27" s="22">
        <v>336.68</v>
      </c>
      <c r="S27" s="22">
        <v>25</v>
      </c>
      <c r="T27" s="22">
        <v>489.55</v>
      </c>
      <c r="U27" s="22">
        <v>530.7</v>
      </c>
      <c r="V27" s="22">
        <v>461.06</v>
      </c>
      <c r="W27" s="22">
        <v>453.22</v>
      </c>
      <c r="X27" s="22">
        <v>442.18</v>
      </c>
      <c r="Y27" s="22">
        <v>447.4</v>
      </c>
      <c r="AB27" s="22">
        <v>25</v>
      </c>
      <c r="AC27" s="22">
        <v>948</v>
      </c>
      <c r="AD27" s="22">
        <v>977.12</v>
      </c>
      <c r="AE27" s="22">
        <v>904.35</v>
      </c>
      <c r="AF27" s="22">
        <v>918.94</v>
      </c>
      <c r="AG27" s="22">
        <v>884.48</v>
      </c>
      <c r="AH27" s="22">
        <v>874.47</v>
      </c>
    </row>
    <row r="28" spans="1:34">
      <c r="A28" s="22">
        <v>26</v>
      </c>
      <c r="B28" s="22">
        <v>219.27</v>
      </c>
      <c r="C28" s="22">
        <v>228.16</v>
      </c>
      <c r="D28" s="22">
        <v>208.92</v>
      </c>
      <c r="E28" s="22">
        <v>205.17</v>
      </c>
      <c r="F28" s="22">
        <v>218.33</v>
      </c>
      <c r="G28" s="22">
        <v>196.49</v>
      </c>
      <c r="J28" s="22">
        <v>26</v>
      </c>
      <c r="K28" s="22">
        <v>347.64</v>
      </c>
      <c r="L28" s="22">
        <v>364.93</v>
      </c>
      <c r="M28" s="22">
        <v>343.86</v>
      </c>
      <c r="N28" s="22">
        <v>369.72</v>
      </c>
      <c r="O28" s="22">
        <v>360.71</v>
      </c>
      <c r="P28" s="22">
        <v>336.68</v>
      </c>
      <c r="S28" s="22">
        <v>26</v>
      </c>
      <c r="T28" s="22">
        <v>489.55</v>
      </c>
      <c r="U28" s="22">
        <v>530.7</v>
      </c>
      <c r="V28" s="22">
        <v>461.06</v>
      </c>
      <c r="W28" s="22">
        <v>453.22</v>
      </c>
      <c r="X28" s="22">
        <v>442.18</v>
      </c>
      <c r="Y28" s="22">
        <v>441.06</v>
      </c>
      <c r="AB28" s="22">
        <v>26</v>
      </c>
      <c r="AC28" s="22">
        <v>948</v>
      </c>
      <c r="AD28" s="22">
        <v>977.12</v>
      </c>
      <c r="AE28" s="22">
        <v>904.35</v>
      </c>
      <c r="AF28" s="22">
        <v>914.79</v>
      </c>
      <c r="AG28" s="22">
        <v>884.48</v>
      </c>
      <c r="AH28" s="22">
        <v>874.47</v>
      </c>
    </row>
    <row r="29" spans="1:34">
      <c r="A29" s="22">
        <v>27</v>
      </c>
      <c r="B29" s="22">
        <v>219.27</v>
      </c>
      <c r="C29" s="22">
        <v>228.16</v>
      </c>
      <c r="D29" s="22">
        <v>208.92</v>
      </c>
      <c r="E29" s="22">
        <v>205.17</v>
      </c>
      <c r="F29" s="22">
        <v>218.33</v>
      </c>
      <c r="G29" s="22">
        <v>196.49</v>
      </c>
      <c r="J29" s="22">
        <v>27</v>
      </c>
      <c r="K29" s="22">
        <v>347.64</v>
      </c>
      <c r="L29" s="22">
        <v>364.93</v>
      </c>
      <c r="M29" s="22">
        <v>343.86</v>
      </c>
      <c r="N29" s="22">
        <v>367.54</v>
      </c>
      <c r="O29" s="22">
        <v>360.71</v>
      </c>
      <c r="P29" s="22">
        <v>336.68</v>
      </c>
      <c r="S29" s="22">
        <v>27</v>
      </c>
      <c r="T29" s="22">
        <v>489.55</v>
      </c>
      <c r="U29" s="22">
        <v>530.7</v>
      </c>
      <c r="V29" s="22">
        <v>461.06</v>
      </c>
      <c r="W29" s="22">
        <v>453.22</v>
      </c>
      <c r="X29" s="22">
        <v>442.18</v>
      </c>
      <c r="Y29" s="22">
        <v>441.06</v>
      </c>
      <c r="AB29" s="22">
        <v>27</v>
      </c>
      <c r="AC29" s="22">
        <v>948</v>
      </c>
      <c r="AD29" s="22">
        <v>977.12</v>
      </c>
      <c r="AE29" s="22">
        <v>904.35</v>
      </c>
      <c r="AF29" s="22">
        <v>914.79</v>
      </c>
      <c r="AG29" s="22">
        <v>884.48</v>
      </c>
      <c r="AH29" s="22">
        <v>874.47</v>
      </c>
    </row>
    <row r="30" spans="1:34">
      <c r="A30" s="22">
        <v>28</v>
      </c>
      <c r="B30" s="22">
        <v>219.27</v>
      </c>
      <c r="C30" s="22">
        <v>228.16</v>
      </c>
      <c r="D30" s="22">
        <v>208.92</v>
      </c>
      <c r="E30" s="22">
        <v>205.17</v>
      </c>
      <c r="F30" s="22">
        <v>218.33</v>
      </c>
      <c r="G30" s="22">
        <v>196.49</v>
      </c>
      <c r="J30" s="22">
        <v>28</v>
      </c>
      <c r="K30" s="22">
        <v>346.51</v>
      </c>
      <c r="L30" s="22">
        <v>364.93</v>
      </c>
      <c r="M30" s="22">
        <v>343.86</v>
      </c>
      <c r="N30" s="22">
        <v>367.54</v>
      </c>
      <c r="O30" s="22">
        <v>359.48</v>
      </c>
      <c r="P30" s="22">
        <v>336.68</v>
      </c>
      <c r="S30" s="22">
        <v>28</v>
      </c>
      <c r="T30" s="22">
        <v>489.55</v>
      </c>
      <c r="U30" s="22">
        <v>530.7</v>
      </c>
      <c r="V30" s="22">
        <v>461.06</v>
      </c>
      <c r="W30" s="22">
        <v>453.22</v>
      </c>
      <c r="X30" s="22">
        <v>442.18</v>
      </c>
      <c r="Y30" s="22">
        <v>441.06</v>
      </c>
      <c r="AB30" s="22">
        <v>28</v>
      </c>
      <c r="AC30" s="22">
        <v>943.15</v>
      </c>
      <c r="AD30" s="22">
        <v>977.12</v>
      </c>
      <c r="AE30" s="22">
        <v>904.35</v>
      </c>
      <c r="AF30" s="22">
        <v>914.79</v>
      </c>
      <c r="AG30" s="22">
        <v>884.48</v>
      </c>
      <c r="AH30" s="22">
        <v>874.47</v>
      </c>
    </row>
    <row r="31" spans="1:34">
      <c r="A31" s="22">
        <v>29</v>
      </c>
      <c r="B31" s="22">
        <v>219.27</v>
      </c>
      <c r="C31" s="22">
        <v>228.16</v>
      </c>
      <c r="D31" s="22">
        <v>208.92</v>
      </c>
      <c r="E31" s="22">
        <v>205.17</v>
      </c>
      <c r="F31" s="22">
        <v>218.33</v>
      </c>
      <c r="G31" s="22">
        <v>196.49</v>
      </c>
      <c r="J31" s="22">
        <v>29</v>
      </c>
      <c r="K31" s="22">
        <v>346.51</v>
      </c>
      <c r="L31" s="22">
        <v>364.93</v>
      </c>
      <c r="M31" s="22">
        <v>343.86</v>
      </c>
      <c r="N31" s="22">
        <v>367.54</v>
      </c>
      <c r="O31" s="22">
        <v>359.48</v>
      </c>
      <c r="P31" s="22">
        <v>336.68</v>
      </c>
      <c r="S31" s="22">
        <v>29</v>
      </c>
      <c r="T31" s="22">
        <v>489.55</v>
      </c>
      <c r="U31" s="22">
        <v>530.7</v>
      </c>
      <c r="V31" s="22">
        <v>461.06</v>
      </c>
      <c r="W31" s="22">
        <v>453.22</v>
      </c>
      <c r="X31" s="22">
        <v>442.18</v>
      </c>
      <c r="Y31" s="22">
        <v>441.06</v>
      </c>
      <c r="AB31" s="22">
        <v>29</v>
      </c>
      <c r="AC31" s="22">
        <v>943.15</v>
      </c>
      <c r="AD31" s="22">
        <v>977.12</v>
      </c>
      <c r="AE31" s="22">
        <v>904.35</v>
      </c>
      <c r="AF31" s="22">
        <v>914.79</v>
      </c>
      <c r="AG31" s="22">
        <v>884.48</v>
      </c>
      <c r="AH31" s="22">
        <v>871.06</v>
      </c>
    </row>
    <row r="32" spans="1:34">
      <c r="A32" s="22">
        <v>30</v>
      </c>
      <c r="B32" s="22">
        <v>219.27</v>
      </c>
      <c r="C32" s="22">
        <v>228.16</v>
      </c>
      <c r="D32" s="22">
        <v>208.92</v>
      </c>
      <c r="E32" s="22">
        <v>205.17</v>
      </c>
      <c r="F32" s="22">
        <v>218.33</v>
      </c>
      <c r="G32" s="22">
        <v>196.49</v>
      </c>
      <c r="J32" s="22">
        <v>30</v>
      </c>
      <c r="K32" s="22">
        <v>346.51</v>
      </c>
      <c r="L32" s="22">
        <v>364.93</v>
      </c>
      <c r="M32" s="22">
        <v>343.86</v>
      </c>
      <c r="N32" s="22">
        <v>367.54</v>
      </c>
      <c r="O32" s="22">
        <v>359.48</v>
      </c>
      <c r="P32" s="22">
        <v>336.68</v>
      </c>
      <c r="S32" s="22">
        <v>30</v>
      </c>
      <c r="T32" s="22">
        <v>489.55</v>
      </c>
      <c r="U32" s="22">
        <v>530.7</v>
      </c>
      <c r="V32" s="22">
        <v>461.06</v>
      </c>
      <c r="W32" s="22">
        <v>453.22</v>
      </c>
      <c r="X32" s="22">
        <v>442.18</v>
      </c>
      <c r="Y32" s="22">
        <v>430.77</v>
      </c>
      <c r="AB32" s="22">
        <v>30</v>
      </c>
      <c r="AC32" s="22">
        <v>943.15</v>
      </c>
      <c r="AD32" s="22">
        <v>977.12</v>
      </c>
      <c r="AE32" s="22">
        <v>904.35</v>
      </c>
      <c r="AF32" s="22">
        <v>914.79</v>
      </c>
      <c r="AG32" s="22">
        <v>884.48</v>
      </c>
      <c r="AH32" s="22">
        <v>871.06</v>
      </c>
    </row>
    <row r="33" spans="1:34">
      <c r="A33" s="22">
        <v>31</v>
      </c>
      <c r="B33" s="22">
        <v>219.27</v>
      </c>
      <c r="C33" s="22">
        <v>228.16</v>
      </c>
      <c r="D33" s="22">
        <v>208.92</v>
      </c>
      <c r="E33" s="22">
        <v>205.17</v>
      </c>
      <c r="F33" s="22">
        <v>218.33</v>
      </c>
      <c r="G33" s="22">
        <v>196.49</v>
      </c>
      <c r="J33" s="22">
        <v>31</v>
      </c>
      <c r="K33" s="22">
        <v>346.51</v>
      </c>
      <c r="L33" s="22">
        <v>364.93</v>
      </c>
      <c r="M33" s="22">
        <v>342.41</v>
      </c>
      <c r="N33" s="22">
        <v>367.54</v>
      </c>
      <c r="O33" s="22">
        <v>359.48</v>
      </c>
      <c r="P33" s="22">
        <v>336.68</v>
      </c>
      <c r="S33" s="22">
        <v>31</v>
      </c>
      <c r="T33" s="22">
        <v>476.5</v>
      </c>
      <c r="U33" s="22">
        <v>530.7</v>
      </c>
      <c r="V33" s="22">
        <v>461.06</v>
      </c>
      <c r="W33" s="22">
        <v>453.22</v>
      </c>
      <c r="X33" s="22">
        <v>442.18</v>
      </c>
      <c r="Y33" s="22">
        <v>430.77</v>
      </c>
      <c r="AB33" s="22">
        <v>31</v>
      </c>
      <c r="AC33" s="22">
        <v>943.15</v>
      </c>
      <c r="AD33" s="22">
        <v>977.12</v>
      </c>
      <c r="AE33" s="22">
        <v>904.35</v>
      </c>
      <c r="AF33" s="22">
        <v>914.79</v>
      </c>
      <c r="AG33" s="22">
        <v>884.48</v>
      </c>
      <c r="AH33" s="22">
        <v>871.06</v>
      </c>
    </row>
    <row r="34" spans="1:34">
      <c r="A34" s="22">
        <v>32</v>
      </c>
      <c r="B34" s="22">
        <v>219.27</v>
      </c>
      <c r="C34" s="22">
        <v>228.16</v>
      </c>
      <c r="D34" s="22">
        <v>208.92</v>
      </c>
      <c r="E34" s="22">
        <v>205.17</v>
      </c>
      <c r="F34" s="22">
        <v>218.33</v>
      </c>
      <c r="G34" s="22">
        <v>196.49</v>
      </c>
      <c r="J34" s="22">
        <v>32</v>
      </c>
      <c r="K34" s="22">
        <v>346.51</v>
      </c>
      <c r="L34" s="22">
        <v>364.93</v>
      </c>
      <c r="M34" s="22">
        <v>342.41</v>
      </c>
      <c r="N34" s="22">
        <v>367.54</v>
      </c>
      <c r="O34" s="22">
        <v>359.48</v>
      </c>
      <c r="P34" s="22">
        <v>336.68</v>
      </c>
      <c r="S34" s="22">
        <v>32</v>
      </c>
      <c r="T34" s="22">
        <v>476.5</v>
      </c>
      <c r="U34" s="22">
        <v>530.7</v>
      </c>
      <c r="V34" s="22">
        <v>461.06</v>
      </c>
      <c r="W34" s="22">
        <v>453.22</v>
      </c>
      <c r="X34" s="22">
        <v>442.18</v>
      </c>
      <c r="Y34" s="22">
        <v>430.77</v>
      </c>
      <c r="AB34" s="22">
        <v>32</v>
      </c>
      <c r="AC34" s="22">
        <v>943.15</v>
      </c>
      <c r="AD34" s="22">
        <v>977.12</v>
      </c>
      <c r="AE34" s="22">
        <v>904.32</v>
      </c>
      <c r="AF34" s="22">
        <v>908.26</v>
      </c>
      <c r="AG34" s="22">
        <v>884.48</v>
      </c>
      <c r="AH34" s="22">
        <v>871.06</v>
      </c>
    </row>
    <row r="35" spans="1:34">
      <c r="A35" s="22">
        <v>33</v>
      </c>
      <c r="B35" s="22">
        <v>219.27</v>
      </c>
      <c r="C35" s="22">
        <v>228.16</v>
      </c>
      <c r="D35" s="22">
        <v>208.28</v>
      </c>
      <c r="E35" s="22">
        <v>205.17</v>
      </c>
      <c r="F35" s="22">
        <v>218.33</v>
      </c>
      <c r="G35" s="22">
        <v>196.49</v>
      </c>
      <c r="J35" s="22">
        <v>33</v>
      </c>
      <c r="K35" s="22">
        <v>346.51</v>
      </c>
      <c r="L35" s="22">
        <v>362.66</v>
      </c>
      <c r="M35" s="22">
        <v>342.41</v>
      </c>
      <c r="N35" s="22">
        <v>338.77</v>
      </c>
      <c r="O35" s="22">
        <v>359.48</v>
      </c>
      <c r="P35" s="22">
        <v>336.68</v>
      </c>
      <c r="S35" s="22">
        <v>33</v>
      </c>
      <c r="T35" s="22">
        <v>476.5</v>
      </c>
      <c r="U35" s="22">
        <v>530.7</v>
      </c>
      <c r="V35" s="22">
        <v>461.06</v>
      </c>
      <c r="W35" s="22">
        <v>453.22</v>
      </c>
      <c r="X35" s="22">
        <v>442.18</v>
      </c>
      <c r="Y35" s="22">
        <v>430.77</v>
      </c>
      <c r="AB35" s="22">
        <v>33</v>
      </c>
      <c r="AC35" s="22">
        <v>943.15</v>
      </c>
      <c r="AD35" s="22">
        <v>977.12</v>
      </c>
      <c r="AE35" s="22">
        <v>904.32</v>
      </c>
      <c r="AF35" s="22">
        <v>908.26</v>
      </c>
      <c r="AG35" s="22">
        <v>884.48</v>
      </c>
      <c r="AH35" s="22">
        <v>871.06</v>
      </c>
    </row>
    <row r="36" spans="1:34">
      <c r="A36" s="22">
        <v>34</v>
      </c>
      <c r="B36" s="22">
        <v>219.27</v>
      </c>
      <c r="C36" s="22">
        <v>228.16</v>
      </c>
      <c r="D36" s="22">
        <v>208.28</v>
      </c>
      <c r="E36" s="22">
        <v>205.17</v>
      </c>
      <c r="F36" s="22">
        <v>218.33</v>
      </c>
      <c r="G36" s="22">
        <v>196.49</v>
      </c>
      <c r="J36" s="22">
        <v>34</v>
      </c>
      <c r="K36" s="22">
        <v>346.51</v>
      </c>
      <c r="L36" s="22">
        <v>362.66</v>
      </c>
      <c r="M36" s="22">
        <v>342.41</v>
      </c>
      <c r="N36" s="22">
        <v>338.77</v>
      </c>
      <c r="O36" s="22">
        <v>359.48</v>
      </c>
      <c r="P36" s="22">
        <v>336.68</v>
      </c>
      <c r="S36" s="22">
        <v>34</v>
      </c>
      <c r="T36" s="22">
        <v>476.5</v>
      </c>
      <c r="U36" s="22">
        <v>528.87</v>
      </c>
      <c r="V36" s="22">
        <v>461.06</v>
      </c>
      <c r="W36" s="22">
        <v>453.22</v>
      </c>
      <c r="X36" s="22">
        <v>442.18</v>
      </c>
      <c r="Y36" s="22">
        <v>430.77</v>
      </c>
      <c r="AB36" s="22">
        <v>34</v>
      </c>
      <c r="AC36" s="22">
        <v>943.15</v>
      </c>
      <c r="AD36" s="22">
        <v>977.12</v>
      </c>
      <c r="AE36" s="22">
        <v>904.32</v>
      </c>
      <c r="AF36" s="22">
        <v>908.26</v>
      </c>
      <c r="AG36" s="22">
        <v>884.48</v>
      </c>
      <c r="AH36" s="22">
        <v>871.06</v>
      </c>
    </row>
    <row r="37" spans="1:34">
      <c r="A37" s="22">
        <v>35</v>
      </c>
      <c r="B37" s="22">
        <v>219.27</v>
      </c>
      <c r="C37" s="22">
        <v>228.16</v>
      </c>
      <c r="D37" s="22">
        <v>208.28</v>
      </c>
      <c r="E37" s="22">
        <v>205.17</v>
      </c>
      <c r="F37" s="22">
        <v>218.33</v>
      </c>
      <c r="G37" s="22">
        <v>196.49</v>
      </c>
      <c r="J37" s="22">
        <v>35</v>
      </c>
      <c r="K37" s="22">
        <v>346.51</v>
      </c>
      <c r="L37" s="22">
        <v>362.66</v>
      </c>
      <c r="M37" s="22">
        <v>342.41</v>
      </c>
      <c r="N37" s="22">
        <v>338.77</v>
      </c>
      <c r="O37" s="22">
        <v>356.42</v>
      </c>
      <c r="P37" s="22">
        <v>336.68</v>
      </c>
      <c r="S37" s="22">
        <v>35</v>
      </c>
      <c r="T37" s="22">
        <v>476.5</v>
      </c>
      <c r="U37" s="22">
        <v>528.87</v>
      </c>
      <c r="V37" s="22">
        <v>461.06</v>
      </c>
      <c r="W37" s="22">
        <v>453.22</v>
      </c>
      <c r="X37" s="22">
        <v>442.18</v>
      </c>
      <c r="Y37" s="22">
        <v>430.77</v>
      </c>
      <c r="AB37" s="22">
        <v>35</v>
      </c>
      <c r="AC37" s="22">
        <v>940.22</v>
      </c>
      <c r="AD37" s="22">
        <v>977.12</v>
      </c>
      <c r="AE37" s="22">
        <v>904.32</v>
      </c>
      <c r="AF37" s="22">
        <v>908.26</v>
      </c>
      <c r="AG37" s="22">
        <v>884.48</v>
      </c>
      <c r="AH37" s="22">
        <v>871.06</v>
      </c>
    </row>
    <row r="38" spans="1:34">
      <c r="A38" s="22">
        <v>36</v>
      </c>
      <c r="B38" s="22">
        <v>219.27</v>
      </c>
      <c r="C38" s="22">
        <v>228.16</v>
      </c>
      <c r="D38" s="22">
        <v>208.28</v>
      </c>
      <c r="E38" s="22">
        <v>205.17</v>
      </c>
      <c r="F38" s="22">
        <v>218.33</v>
      </c>
      <c r="G38" s="22">
        <v>196.49</v>
      </c>
      <c r="J38" s="22">
        <v>36</v>
      </c>
      <c r="K38" s="22">
        <v>346.51</v>
      </c>
      <c r="L38" s="22">
        <v>362.66</v>
      </c>
      <c r="M38" s="22">
        <v>337.44</v>
      </c>
      <c r="N38" s="22">
        <v>338.77</v>
      </c>
      <c r="O38" s="22">
        <v>356.42</v>
      </c>
      <c r="P38" s="22">
        <v>336.68</v>
      </c>
      <c r="S38" s="22">
        <v>36</v>
      </c>
      <c r="T38" s="22">
        <v>476.5</v>
      </c>
      <c r="U38" s="22">
        <v>528.87</v>
      </c>
      <c r="V38" s="22">
        <v>461.06</v>
      </c>
      <c r="W38" s="22">
        <v>453.22</v>
      </c>
      <c r="X38" s="22">
        <v>442.18</v>
      </c>
      <c r="Y38" s="22">
        <v>430.77</v>
      </c>
      <c r="AB38" s="22">
        <v>36</v>
      </c>
      <c r="AC38" s="22">
        <v>940.22</v>
      </c>
      <c r="AD38" s="22">
        <v>977.12</v>
      </c>
      <c r="AE38" s="22">
        <v>904.32</v>
      </c>
      <c r="AF38" s="22">
        <v>908.26</v>
      </c>
      <c r="AG38" s="22">
        <v>884.48</v>
      </c>
      <c r="AH38" s="22">
        <v>871.06</v>
      </c>
    </row>
    <row r="39" spans="1:34">
      <c r="A39" s="22">
        <v>37</v>
      </c>
      <c r="B39" s="22">
        <v>219.27</v>
      </c>
      <c r="C39" s="22">
        <v>228.16</v>
      </c>
      <c r="D39" s="22">
        <v>208.28</v>
      </c>
      <c r="E39" s="22">
        <v>205.17</v>
      </c>
      <c r="F39" s="22">
        <v>218.33</v>
      </c>
      <c r="G39" s="22">
        <v>196.49</v>
      </c>
      <c r="J39" s="22">
        <v>37</v>
      </c>
      <c r="K39" s="22">
        <v>340.03</v>
      </c>
      <c r="L39" s="22">
        <v>362.66</v>
      </c>
      <c r="M39" s="22">
        <v>337.44</v>
      </c>
      <c r="N39" s="22">
        <v>338.77</v>
      </c>
      <c r="O39" s="22">
        <v>356.42</v>
      </c>
      <c r="P39" s="22">
        <v>336.68</v>
      </c>
      <c r="S39" s="22">
        <v>37</v>
      </c>
      <c r="T39" s="22">
        <v>472.86</v>
      </c>
      <c r="U39" s="22">
        <v>528.87</v>
      </c>
      <c r="V39" s="22">
        <v>461.06</v>
      </c>
      <c r="W39" s="22">
        <v>453.22</v>
      </c>
      <c r="X39" s="22">
        <v>442.18</v>
      </c>
      <c r="Y39" s="22">
        <v>430.77</v>
      </c>
      <c r="AB39" s="22">
        <v>37</v>
      </c>
      <c r="AC39" s="22">
        <v>940.22</v>
      </c>
      <c r="AD39" s="22">
        <v>977.12</v>
      </c>
      <c r="AE39" s="22">
        <v>904.32</v>
      </c>
      <c r="AF39" s="22">
        <v>908.26</v>
      </c>
      <c r="AG39" s="22">
        <v>884.48</v>
      </c>
      <c r="AH39" s="22">
        <v>871.06</v>
      </c>
    </row>
    <row r="40" spans="1:34">
      <c r="A40" s="22">
        <v>38</v>
      </c>
      <c r="B40" s="22">
        <v>219.27</v>
      </c>
      <c r="C40" s="22">
        <v>228.16</v>
      </c>
      <c r="D40" s="22">
        <v>207.64</v>
      </c>
      <c r="E40" s="22">
        <v>201.19</v>
      </c>
      <c r="F40" s="22">
        <v>214.5</v>
      </c>
      <c r="G40" s="22">
        <v>196.49</v>
      </c>
      <c r="J40" s="22">
        <v>38</v>
      </c>
      <c r="K40" s="22">
        <v>340.03</v>
      </c>
      <c r="L40" s="22">
        <v>362.66</v>
      </c>
      <c r="M40" s="22">
        <v>337.44</v>
      </c>
      <c r="N40" s="22">
        <v>338.77</v>
      </c>
      <c r="O40" s="22">
        <v>356.42</v>
      </c>
      <c r="P40" s="22">
        <v>336.68</v>
      </c>
      <c r="S40" s="22">
        <v>38</v>
      </c>
      <c r="T40" s="22">
        <v>472.86</v>
      </c>
      <c r="U40" s="22">
        <v>528.87</v>
      </c>
      <c r="V40" s="22">
        <v>461.06</v>
      </c>
      <c r="W40" s="22">
        <v>453.22</v>
      </c>
      <c r="X40" s="22">
        <v>441.41</v>
      </c>
      <c r="Y40" s="22">
        <v>430.77</v>
      </c>
      <c r="AB40" s="22">
        <v>38</v>
      </c>
      <c r="AC40" s="22">
        <v>940.22</v>
      </c>
      <c r="AD40" s="22">
        <v>977.12</v>
      </c>
      <c r="AE40" s="22">
        <v>904.32</v>
      </c>
      <c r="AF40" s="22">
        <v>908.26</v>
      </c>
      <c r="AG40" s="22">
        <v>884.48</v>
      </c>
      <c r="AH40" s="22">
        <v>871.06</v>
      </c>
    </row>
    <row r="41" spans="1:34">
      <c r="A41" s="22">
        <v>39</v>
      </c>
      <c r="B41" s="22">
        <v>219.27</v>
      </c>
      <c r="C41" s="22">
        <v>228.16</v>
      </c>
      <c r="D41" s="22">
        <v>207.64</v>
      </c>
      <c r="E41" s="22">
        <v>201.19</v>
      </c>
      <c r="F41" s="22">
        <v>214.5</v>
      </c>
      <c r="G41" s="22">
        <v>196.49</v>
      </c>
      <c r="J41" s="22">
        <v>39</v>
      </c>
      <c r="K41" s="22">
        <v>340.03</v>
      </c>
      <c r="L41" s="22">
        <v>362.66</v>
      </c>
      <c r="M41" s="22">
        <v>337.44</v>
      </c>
      <c r="N41" s="22">
        <v>338.77</v>
      </c>
      <c r="O41" s="22">
        <v>356.42</v>
      </c>
      <c r="P41" s="22">
        <v>336.68</v>
      </c>
      <c r="S41" s="22">
        <v>39</v>
      </c>
      <c r="T41" s="22">
        <v>472.86</v>
      </c>
      <c r="U41" s="22">
        <v>528.87</v>
      </c>
      <c r="V41" s="22">
        <v>461.06</v>
      </c>
      <c r="W41" s="22">
        <v>453.22</v>
      </c>
      <c r="X41" s="22">
        <v>441.41</v>
      </c>
      <c r="Y41" s="22">
        <v>430.77</v>
      </c>
      <c r="AB41" s="22">
        <v>39</v>
      </c>
      <c r="AC41" s="22">
        <v>940.22</v>
      </c>
      <c r="AD41" s="22">
        <v>977.12</v>
      </c>
      <c r="AE41" s="22">
        <v>904.32</v>
      </c>
      <c r="AF41" s="22">
        <v>908.26</v>
      </c>
      <c r="AG41" s="22">
        <v>884.48</v>
      </c>
      <c r="AH41" s="22">
        <v>871.06</v>
      </c>
    </row>
    <row r="42" spans="1:34">
      <c r="A42" s="22">
        <v>40</v>
      </c>
      <c r="B42" s="22">
        <v>219.27</v>
      </c>
      <c r="C42" s="22">
        <v>228.16</v>
      </c>
      <c r="D42" s="22">
        <v>207.64</v>
      </c>
      <c r="E42" s="22">
        <v>201.19</v>
      </c>
      <c r="F42" s="22">
        <v>214.5</v>
      </c>
      <c r="G42" s="22">
        <v>196.49</v>
      </c>
      <c r="J42" s="22">
        <v>40</v>
      </c>
      <c r="K42" s="22">
        <v>340.03</v>
      </c>
      <c r="L42" s="22">
        <v>362.66</v>
      </c>
      <c r="M42" s="22">
        <v>337.44</v>
      </c>
      <c r="N42" s="22">
        <v>338.77</v>
      </c>
      <c r="O42" s="22">
        <v>356.42</v>
      </c>
      <c r="P42" s="22">
        <v>336.68</v>
      </c>
      <c r="S42" s="22">
        <v>40</v>
      </c>
      <c r="T42" s="22">
        <v>472.86</v>
      </c>
      <c r="U42" s="22">
        <v>528.87</v>
      </c>
      <c r="V42" s="22">
        <v>461.06</v>
      </c>
      <c r="W42" s="22">
        <v>453.22</v>
      </c>
      <c r="X42" s="22">
        <v>441.41</v>
      </c>
      <c r="Y42" s="22">
        <v>430.77</v>
      </c>
      <c r="AB42" s="22">
        <v>40</v>
      </c>
      <c r="AC42" s="22">
        <v>940.22</v>
      </c>
      <c r="AD42" s="22">
        <v>977.12</v>
      </c>
      <c r="AE42" s="22">
        <v>904.32</v>
      </c>
      <c r="AF42" s="22">
        <v>908.26</v>
      </c>
      <c r="AG42" s="22">
        <v>884.48</v>
      </c>
      <c r="AH42" s="22">
        <v>856.61</v>
      </c>
    </row>
    <row r="43" spans="1:34">
      <c r="A43" s="22">
        <v>41</v>
      </c>
      <c r="B43" s="22">
        <v>219.27</v>
      </c>
      <c r="C43" s="22">
        <v>228.16</v>
      </c>
      <c r="D43" s="22">
        <v>207.64</v>
      </c>
      <c r="E43" s="22">
        <v>201.19</v>
      </c>
      <c r="F43" s="22">
        <v>214.5</v>
      </c>
      <c r="G43" s="22">
        <v>196.49</v>
      </c>
      <c r="J43" s="22">
        <v>41</v>
      </c>
      <c r="K43" s="22">
        <v>340.03</v>
      </c>
      <c r="L43" s="22">
        <v>362.66</v>
      </c>
      <c r="M43" s="22">
        <v>337.44</v>
      </c>
      <c r="N43" s="22">
        <v>338.77</v>
      </c>
      <c r="O43" s="22">
        <v>356.42</v>
      </c>
      <c r="P43" s="22">
        <v>336.68</v>
      </c>
      <c r="S43" s="22">
        <v>41</v>
      </c>
      <c r="T43" s="22">
        <v>472.86</v>
      </c>
      <c r="U43" s="22">
        <v>528.87</v>
      </c>
      <c r="V43" s="22">
        <v>461.06</v>
      </c>
      <c r="W43" s="22">
        <v>453.22</v>
      </c>
      <c r="X43" s="22">
        <v>441.41</v>
      </c>
      <c r="Y43" s="22">
        <v>430.77</v>
      </c>
      <c r="AB43" s="22">
        <v>41</v>
      </c>
      <c r="AC43" s="22">
        <v>940.22</v>
      </c>
      <c r="AD43" s="22">
        <v>977.12</v>
      </c>
      <c r="AE43" s="22">
        <v>904.32</v>
      </c>
      <c r="AF43" s="22">
        <v>908.26</v>
      </c>
      <c r="AG43" s="22">
        <v>884.48</v>
      </c>
      <c r="AH43" s="22">
        <v>856.61</v>
      </c>
    </row>
    <row r="44" spans="1:34">
      <c r="A44" s="22">
        <v>42</v>
      </c>
      <c r="B44" s="22">
        <v>219.27</v>
      </c>
      <c r="C44" s="22">
        <v>227.03</v>
      </c>
      <c r="D44" s="22">
        <v>207.64</v>
      </c>
      <c r="E44" s="22">
        <v>201.19</v>
      </c>
      <c r="F44" s="22">
        <v>205.68</v>
      </c>
      <c r="G44" s="22">
        <v>196.49</v>
      </c>
      <c r="J44" s="22">
        <v>42</v>
      </c>
      <c r="K44" s="22">
        <v>340.03</v>
      </c>
      <c r="L44" s="22">
        <v>361.37</v>
      </c>
      <c r="M44" s="22">
        <v>335.54</v>
      </c>
      <c r="N44" s="22">
        <v>338.77</v>
      </c>
      <c r="O44" s="22">
        <v>345.82</v>
      </c>
      <c r="P44" s="22">
        <v>336.68</v>
      </c>
      <c r="S44" s="22">
        <v>42</v>
      </c>
      <c r="T44" s="22">
        <v>472.86</v>
      </c>
      <c r="U44" s="22">
        <v>528.87</v>
      </c>
      <c r="V44" s="22">
        <v>461.06</v>
      </c>
      <c r="W44" s="22">
        <v>453.22</v>
      </c>
      <c r="X44" s="22">
        <v>441.41</v>
      </c>
      <c r="Y44" s="22">
        <v>430.77</v>
      </c>
      <c r="AB44" s="22">
        <v>42</v>
      </c>
      <c r="AC44" s="22">
        <v>940.22</v>
      </c>
      <c r="AD44" s="22">
        <v>977.12</v>
      </c>
      <c r="AE44" s="22">
        <v>904.32</v>
      </c>
      <c r="AF44" s="22">
        <v>907.32</v>
      </c>
      <c r="AG44" s="22">
        <v>884.48</v>
      </c>
      <c r="AH44" s="22">
        <v>856.61</v>
      </c>
    </row>
    <row r="45" spans="1:34">
      <c r="A45" s="22">
        <v>43</v>
      </c>
      <c r="B45" s="22">
        <v>219.27</v>
      </c>
      <c r="C45" s="22">
        <v>227.03</v>
      </c>
      <c r="D45" s="22">
        <v>207.64</v>
      </c>
      <c r="E45" s="22">
        <v>201.19</v>
      </c>
      <c r="F45" s="22">
        <v>205.68</v>
      </c>
      <c r="G45" s="22">
        <v>196.49</v>
      </c>
      <c r="J45" s="22">
        <v>43</v>
      </c>
      <c r="K45" s="22">
        <v>340</v>
      </c>
      <c r="L45" s="22">
        <v>361.37</v>
      </c>
      <c r="M45" s="22">
        <v>335.54</v>
      </c>
      <c r="N45" s="22">
        <v>338.77</v>
      </c>
      <c r="O45" s="22">
        <v>345.82</v>
      </c>
      <c r="P45" s="22">
        <v>336.68</v>
      </c>
      <c r="S45" s="22">
        <v>43</v>
      </c>
      <c r="T45" s="22">
        <v>472.86</v>
      </c>
      <c r="U45" s="22">
        <v>528.87</v>
      </c>
      <c r="V45" s="22">
        <v>461.06</v>
      </c>
      <c r="W45" s="22">
        <v>453.22</v>
      </c>
      <c r="X45" s="22">
        <v>441.28</v>
      </c>
      <c r="Y45" s="22">
        <v>430.77</v>
      </c>
      <c r="AB45" s="22">
        <v>43</v>
      </c>
      <c r="AC45" s="22">
        <v>938.62</v>
      </c>
      <c r="AD45" s="22">
        <v>972.92</v>
      </c>
      <c r="AE45" s="22">
        <v>904.32</v>
      </c>
      <c r="AF45" s="22">
        <v>907.32</v>
      </c>
      <c r="AG45" s="22">
        <v>884.48</v>
      </c>
      <c r="AH45" s="22">
        <v>856.61</v>
      </c>
    </row>
    <row r="46" spans="1:34">
      <c r="A46" s="22">
        <v>44</v>
      </c>
      <c r="B46" s="22">
        <v>219.27</v>
      </c>
      <c r="C46" s="22">
        <v>227.03</v>
      </c>
      <c r="D46" s="22">
        <v>207.64</v>
      </c>
      <c r="E46" s="22">
        <v>201.19</v>
      </c>
      <c r="F46" s="22">
        <v>205.68</v>
      </c>
      <c r="G46" s="22">
        <v>195.36</v>
      </c>
      <c r="J46" s="22">
        <v>44</v>
      </c>
      <c r="K46" s="22">
        <v>340</v>
      </c>
      <c r="L46" s="22">
        <v>361.37</v>
      </c>
      <c r="M46" s="22">
        <v>335.54</v>
      </c>
      <c r="N46" s="22">
        <v>338.77</v>
      </c>
      <c r="O46" s="22">
        <v>329.64</v>
      </c>
      <c r="P46" s="22">
        <v>336.68</v>
      </c>
      <c r="S46" s="22">
        <v>44</v>
      </c>
      <c r="T46" s="22">
        <v>472.86</v>
      </c>
      <c r="U46" s="22">
        <v>528.87</v>
      </c>
      <c r="V46" s="22">
        <v>461.06</v>
      </c>
      <c r="W46" s="22">
        <v>453.22</v>
      </c>
      <c r="X46" s="22">
        <v>441.28</v>
      </c>
      <c r="Y46" s="22">
        <v>430.77</v>
      </c>
      <c r="AB46" s="22">
        <v>44</v>
      </c>
      <c r="AC46" s="22">
        <v>938.62</v>
      </c>
      <c r="AD46" s="22">
        <v>972.92</v>
      </c>
      <c r="AE46" s="22">
        <v>904.32</v>
      </c>
      <c r="AF46" s="22">
        <v>907.32</v>
      </c>
      <c r="AG46" s="22">
        <v>884.48</v>
      </c>
      <c r="AH46" s="22">
        <v>856.61</v>
      </c>
    </row>
    <row r="47" spans="1:34">
      <c r="A47" s="22">
        <v>45</v>
      </c>
      <c r="B47" s="22">
        <v>219.27</v>
      </c>
      <c r="C47" s="22">
        <v>227.03</v>
      </c>
      <c r="D47" s="22">
        <v>207.64</v>
      </c>
      <c r="E47" s="22">
        <v>201.19</v>
      </c>
      <c r="F47" s="22">
        <v>205.68</v>
      </c>
      <c r="G47" s="22">
        <v>195.36</v>
      </c>
      <c r="J47" s="22">
        <v>45</v>
      </c>
      <c r="K47" s="22">
        <v>340</v>
      </c>
      <c r="L47" s="22">
        <v>361.37</v>
      </c>
      <c r="M47" s="22">
        <v>335.54</v>
      </c>
      <c r="N47" s="22">
        <v>338.77</v>
      </c>
      <c r="O47" s="22">
        <v>329.64</v>
      </c>
      <c r="P47" s="22">
        <v>336.68</v>
      </c>
      <c r="S47" s="22">
        <v>45</v>
      </c>
      <c r="T47" s="22">
        <v>472.86</v>
      </c>
      <c r="U47" s="22">
        <v>528.87</v>
      </c>
      <c r="V47" s="22">
        <v>461.06</v>
      </c>
      <c r="W47" s="22">
        <v>453.22</v>
      </c>
      <c r="X47" s="22">
        <v>441.28</v>
      </c>
      <c r="Y47" s="22">
        <v>430.77</v>
      </c>
      <c r="AB47" s="22">
        <v>45</v>
      </c>
      <c r="AC47" s="22">
        <v>938.62</v>
      </c>
      <c r="AD47" s="22">
        <v>972.92</v>
      </c>
      <c r="AE47" s="22">
        <v>904.32</v>
      </c>
      <c r="AF47" s="22">
        <v>907.32</v>
      </c>
      <c r="AG47" s="22">
        <v>884.48</v>
      </c>
      <c r="AH47" s="22">
        <v>856.61</v>
      </c>
    </row>
    <row r="48" spans="1:34">
      <c r="A48" s="22">
        <v>46</v>
      </c>
      <c r="B48" s="22">
        <v>219.27</v>
      </c>
      <c r="C48" s="22">
        <v>227.03</v>
      </c>
      <c r="D48" s="22">
        <v>207.64</v>
      </c>
      <c r="E48" s="22">
        <v>201.19</v>
      </c>
      <c r="F48" s="22">
        <v>205.68</v>
      </c>
      <c r="G48" s="22">
        <v>195.36</v>
      </c>
      <c r="J48" s="22">
        <v>46</v>
      </c>
      <c r="K48" s="22">
        <v>340</v>
      </c>
      <c r="L48" s="22">
        <v>361.37</v>
      </c>
      <c r="M48" s="22">
        <v>335.54</v>
      </c>
      <c r="N48" s="22">
        <v>338.77</v>
      </c>
      <c r="O48" s="22">
        <v>329.64</v>
      </c>
      <c r="P48" s="22">
        <v>336.68</v>
      </c>
      <c r="S48" s="22">
        <v>46</v>
      </c>
      <c r="T48" s="22">
        <v>471.71</v>
      </c>
      <c r="U48" s="22">
        <v>528.87</v>
      </c>
      <c r="V48" s="22">
        <v>461.06</v>
      </c>
      <c r="W48" s="22">
        <v>453.22</v>
      </c>
      <c r="X48" s="22">
        <v>441.28</v>
      </c>
      <c r="Y48" s="22">
        <v>430.77</v>
      </c>
      <c r="AB48" s="22">
        <v>46</v>
      </c>
      <c r="AC48" s="22">
        <v>938.62</v>
      </c>
      <c r="AD48" s="22">
        <v>972.92</v>
      </c>
      <c r="AE48" s="22">
        <v>904.32</v>
      </c>
      <c r="AF48" s="22">
        <v>907.32</v>
      </c>
      <c r="AG48" s="22">
        <v>884.48</v>
      </c>
      <c r="AH48" s="22">
        <v>856.61</v>
      </c>
    </row>
    <row r="49" spans="1:34">
      <c r="A49" s="22">
        <v>47</v>
      </c>
      <c r="B49" s="22">
        <v>219.27</v>
      </c>
      <c r="C49" s="22">
        <v>227.03</v>
      </c>
      <c r="D49" s="22">
        <v>207.64</v>
      </c>
      <c r="E49" s="22">
        <v>201.19</v>
      </c>
      <c r="F49" s="22">
        <v>205.68</v>
      </c>
      <c r="G49" s="22">
        <v>195.36</v>
      </c>
      <c r="J49" s="22">
        <v>47</v>
      </c>
      <c r="K49" s="22">
        <v>340</v>
      </c>
      <c r="L49" s="22">
        <v>361.37</v>
      </c>
      <c r="M49" s="22">
        <v>335.54</v>
      </c>
      <c r="N49" s="22">
        <v>338.77</v>
      </c>
      <c r="O49" s="22">
        <v>327.11</v>
      </c>
      <c r="P49" s="22">
        <v>336.68</v>
      </c>
      <c r="S49" s="22">
        <v>47</v>
      </c>
      <c r="T49" s="22">
        <v>471.71</v>
      </c>
      <c r="U49" s="22">
        <v>528.87</v>
      </c>
      <c r="V49" s="22">
        <v>461.06</v>
      </c>
      <c r="W49" s="22">
        <v>453.22</v>
      </c>
      <c r="X49" s="22">
        <v>441.28</v>
      </c>
      <c r="Y49" s="22">
        <v>430.77</v>
      </c>
      <c r="AB49" s="22">
        <v>47</v>
      </c>
      <c r="AC49" s="22">
        <v>938.62</v>
      </c>
      <c r="AD49" s="22">
        <v>972.92</v>
      </c>
      <c r="AE49" s="22">
        <v>904.32</v>
      </c>
      <c r="AF49" s="22">
        <v>904.65</v>
      </c>
      <c r="AG49" s="22">
        <v>884.48</v>
      </c>
      <c r="AH49" s="22">
        <v>856.61</v>
      </c>
    </row>
    <row r="50" spans="1:34">
      <c r="A50" s="22">
        <v>48</v>
      </c>
      <c r="B50" s="22">
        <v>219.27</v>
      </c>
      <c r="C50" s="22">
        <v>227.03</v>
      </c>
      <c r="D50" s="22">
        <v>207.64</v>
      </c>
      <c r="E50" s="22">
        <v>201.19</v>
      </c>
      <c r="F50" s="22">
        <v>205.68</v>
      </c>
      <c r="G50" s="22">
        <v>195.36</v>
      </c>
      <c r="J50" s="22">
        <v>48</v>
      </c>
      <c r="K50" s="22">
        <v>340</v>
      </c>
      <c r="L50" s="22">
        <v>361.37</v>
      </c>
      <c r="M50" s="22">
        <v>335.23</v>
      </c>
      <c r="N50" s="22">
        <v>338.77</v>
      </c>
      <c r="O50" s="22">
        <v>327.11</v>
      </c>
      <c r="P50" s="22">
        <v>336.68</v>
      </c>
      <c r="S50" s="22">
        <v>48</v>
      </c>
      <c r="T50" s="22">
        <v>471.71</v>
      </c>
      <c r="U50" s="22">
        <v>528.87</v>
      </c>
      <c r="V50" s="22">
        <v>461.06</v>
      </c>
      <c r="W50" s="22">
        <v>453.22</v>
      </c>
      <c r="X50" s="22">
        <v>441.28</v>
      </c>
      <c r="Y50" s="22">
        <v>430.77</v>
      </c>
      <c r="AB50" s="22">
        <v>48</v>
      </c>
      <c r="AC50" s="22">
        <v>938.62</v>
      </c>
      <c r="AD50" s="22">
        <v>972.92</v>
      </c>
      <c r="AE50" s="22">
        <v>904.32</v>
      </c>
      <c r="AF50" s="22">
        <v>904.65</v>
      </c>
      <c r="AG50" s="22">
        <v>884.48</v>
      </c>
      <c r="AH50" s="22">
        <v>856.61</v>
      </c>
    </row>
    <row r="51" spans="1:34">
      <c r="A51" s="22">
        <v>49</v>
      </c>
      <c r="B51" s="22">
        <v>219.27</v>
      </c>
      <c r="C51" s="22">
        <v>227.03</v>
      </c>
      <c r="D51" s="22">
        <v>207.64</v>
      </c>
      <c r="E51" s="22">
        <v>201.19</v>
      </c>
      <c r="F51" s="22">
        <v>205.68</v>
      </c>
      <c r="G51" s="22">
        <v>195.36</v>
      </c>
      <c r="J51" s="22">
        <v>49</v>
      </c>
      <c r="K51" s="22">
        <v>340</v>
      </c>
      <c r="L51" s="22">
        <v>361.37</v>
      </c>
      <c r="M51" s="22">
        <v>335.23</v>
      </c>
      <c r="N51" s="22">
        <v>326.82</v>
      </c>
      <c r="O51" s="22">
        <v>327.11</v>
      </c>
      <c r="P51" s="22">
        <v>336.68</v>
      </c>
      <c r="S51" s="22">
        <v>49</v>
      </c>
      <c r="T51" s="22">
        <v>471.71</v>
      </c>
      <c r="U51" s="22">
        <v>528.87</v>
      </c>
      <c r="V51" s="22">
        <v>461.06</v>
      </c>
      <c r="W51" s="22">
        <v>453.22</v>
      </c>
      <c r="X51" s="22">
        <v>441.28</v>
      </c>
      <c r="Y51" s="22">
        <v>430.77</v>
      </c>
      <c r="AB51" s="22">
        <v>49</v>
      </c>
      <c r="AC51" s="22">
        <v>938.62</v>
      </c>
      <c r="AD51" s="22">
        <v>972.92</v>
      </c>
      <c r="AE51" s="22">
        <v>904.32</v>
      </c>
      <c r="AF51" s="22">
        <v>904.65</v>
      </c>
      <c r="AG51" s="22">
        <v>880.78</v>
      </c>
      <c r="AH51" s="22">
        <v>856.61</v>
      </c>
    </row>
    <row r="52" spans="1:34">
      <c r="A52" s="22">
        <v>50</v>
      </c>
      <c r="B52" s="22">
        <v>219.27</v>
      </c>
      <c r="C52" s="22">
        <v>227.03</v>
      </c>
      <c r="D52" s="22">
        <v>207.64</v>
      </c>
      <c r="E52" s="22">
        <v>201.19</v>
      </c>
      <c r="F52" s="22">
        <v>205.68</v>
      </c>
      <c r="G52" s="22">
        <v>195.36</v>
      </c>
      <c r="J52" s="22">
        <v>50</v>
      </c>
      <c r="K52" s="22">
        <v>340</v>
      </c>
      <c r="L52" s="22">
        <v>361.37</v>
      </c>
      <c r="M52" s="22">
        <v>335.23</v>
      </c>
      <c r="N52" s="22">
        <v>326.82</v>
      </c>
      <c r="O52" s="22">
        <v>327.11</v>
      </c>
      <c r="P52" s="22">
        <v>336.68</v>
      </c>
      <c r="S52" s="22">
        <v>50</v>
      </c>
      <c r="T52" s="22">
        <v>471.71</v>
      </c>
      <c r="U52" s="22">
        <v>528.87</v>
      </c>
      <c r="V52" s="22">
        <v>461.06</v>
      </c>
      <c r="W52" s="22">
        <v>453.22</v>
      </c>
      <c r="X52" s="22">
        <v>441.28</v>
      </c>
      <c r="Y52" s="22">
        <v>430.77</v>
      </c>
      <c r="AB52" s="22">
        <v>50</v>
      </c>
      <c r="AC52" s="22">
        <v>938.62</v>
      </c>
      <c r="AD52" s="22">
        <v>972.92</v>
      </c>
      <c r="AE52" s="22">
        <v>904.32</v>
      </c>
      <c r="AF52" s="22">
        <v>904.65</v>
      </c>
      <c r="AG52" s="22">
        <v>880.78</v>
      </c>
      <c r="AH52" s="22">
        <v>856.61</v>
      </c>
    </row>
    <row r="53" spans="1:34">
      <c r="A53" s="22">
        <v>51</v>
      </c>
      <c r="B53" s="22">
        <v>219.27</v>
      </c>
      <c r="C53" s="22">
        <v>227.03</v>
      </c>
      <c r="D53" s="22">
        <v>207.64</v>
      </c>
      <c r="E53" s="22">
        <v>201.19</v>
      </c>
      <c r="F53" s="22">
        <v>205.68</v>
      </c>
      <c r="G53" s="22">
        <v>195.36</v>
      </c>
      <c r="J53" s="22">
        <v>51</v>
      </c>
      <c r="K53" s="22">
        <v>340</v>
      </c>
      <c r="L53" s="22">
        <v>361.37</v>
      </c>
      <c r="M53" s="22">
        <v>335.23</v>
      </c>
      <c r="N53" s="22">
        <v>325.26</v>
      </c>
      <c r="O53" s="22">
        <v>327.11</v>
      </c>
      <c r="P53" s="22">
        <v>336.68</v>
      </c>
      <c r="S53" s="22">
        <v>51</v>
      </c>
      <c r="T53" s="22">
        <v>471.71</v>
      </c>
      <c r="U53" s="22">
        <v>528.87</v>
      </c>
      <c r="V53" s="22">
        <v>458.1</v>
      </c>
      <c r="W53" s="22">
        <v>450.26</v>
      </c>
      <c r="X53" s="22">
        <v>441.28</v>
      </c>
      <c r="Y53" s="22">
        <v>430.77</v>
      </c>
      <c r="AB53" s="22">
        <v>51</v>
      </c>
      <c r="AC53" s="22">
        <v>938.62</v>
      </c>
      <c r="AD53" s="22">
        <v>972.92</v>
      </c>
      <c r="AE53" s="22">
        <v>904.32</v>
      </c>
      <c r="AF53" s="22">
        <v>901.56</v>
      </c>
      <c r="AG53" s="22">
        <v>880.78</v>
      </c>
      <c r="AH53" s="22">
        <v>856.61</v>
      </c>
    </row>
    <row r="54" spans="1:34">
      <c r="A54" s="22">
        <v>52</v>
      </c>
      <c r="B54" s="22">
        <v>219.27</v>
      </c>
      <c r="C54" s="22">
        <v>227.03</v>
      </c>
      <c r="D54" s="22">
        <v>207.64</v>
      </c>
      <c r="E54" s="22">
        <v>201.19</v>
      </c>
      <c r="F54" s="22">
        <v>205.68</v>
      </c>
      <c r="G54" s="22">
        <v>195.36</v>
      </c>
      <c r="J54" s="22">
        <v>52</v>
      </c>
      <c r="K54" s="22">
        <v>340</v>
      </c>
      <c r="L54" s="22">
        <v>361.37</v>
      </c>
      <c r="M54" s="22">
        <v>335.23</v>
      </c>
      <c r="N54" s="22">
        <v>325.26</v>
      </c>
      <c r="O54" s="22">
        <v>327.11</v>
      </c>
      <c r="P54" s="22">
        <v>336.68</v>
      </c>
      <c r="S54" s="22">
        <v>52</v>
      </c>
      <c r="T54" s="22">
        <v>471.71</v>
      </c>
      <c r="U54" s="22">
        <v>528.87</v>
      </c>
      <c r="V54" s="22">
        <v>458.1</v>
      </c>
      <c r="W54" s="22">
        <v>450.26</v>
      </c>
      <c r="X54" s="22">
        <v>441.28</v>
      </c>
      <c r="Y54" s="22">
        <v>430.77</v>
      </c>
      <c r="AB54" s="22">
        <v>52</v>
      </c>
      <c r="AC54" s="22">
        <v>938.62</v>
      </c>
      <c r="AD54" s="22">
        <v>972.92</v>
      </c>
      <c r="AE54" s="22">
        <v>904.32</v>
      </c>
      <c r="AF54" s="22">
        <v>901.56</v>
      </c>
      <c r="AG54" s="22">
        <v>880.78</v>
      </c>
      <c r="AH54" s="22">
        <v>856.61</v>
      </c>
    </row>
    <row r="55" spans="1:34">
      <c r="A55" s="22">
        <v>53</v>
      </c>
      <c r="B55" s="22">
        <v>219.27</v>
      </c>
      <c r="C55" s="22">
        <v>227.03</v>
      </c>
      <c r="D55" s="22">
        <v>207.64</v>
      </c>
      <c r="E55" s="22">
        <v>201.19</v>
      </c>
      <c r="F55" s="22">
        <v>205.68</v>
      </c>
      <c r="G55" s="22">
        <v>195.36</v>
      </c>
      <c r="J55" s="22">
        <v>53</v>
      </c>
      <c r="K55" s="22">
        <v>340</v>
      </c>
      <c r="L55" s="22">
        <v>361.37</v>
      </c>
      <c r="M55" s="22">
        <v>335.23</v>
      </c>
      <c r="N55" s="22">
        <v>325.26</v>
      </c>
      <c r="O55" s="22">
        <v>327.11</v>
      </c>
      <c r="P55" s="22">
        <v>336.68</v>
      </c>
      <c r="S55" s="22">
        <v>53</v>
      </c>
      <c r="T55" s="22">
        <v>471.71</v>
      </c>
      <c r="U55" s="22">
        <v>528.87</v>
      </c>
      <c r="V55" s="22">
        <v>458.1</v>
      </c>
      <c r="W55" s="22">
        <v>450.26</v>
      </c>
      <c r="X55" s="22">
        <v>441.28</v>
      </c>
      <c r="Y55" s="22">
        <v>430.77</v>
      </c>
      <c r="AB55" s="22">
        <v>53</v>
      </c>
      <c r="AC55" s="22">
        <v>938.62</v>
      </c>
      <c r="AD55" s="22">
        <v>972.92</v>
      </c>
      <c r="AE55" s="22">
        <v>904.32</v>
      </c>
      <c r="AF55" s="22">
        <v>901.56</v>
      </c>
      <c r="AG55" s="22">
        <v>880.78</v>
      </c>
      <c r="AH55" s="22">
        <v>856.61</v>
      </c>
    </row>
    <row r="56" spans="1:34">
      <c r="A56" s="22">
        <v>54</v>
      </c>
      <c r="B56" s="22">
        <v>219.27</v>
      </c>
      <c r="C56" s="22">
        <v>227.03</v>
      </c>
      <c r="D56" s="22">
        <v>207.64</v>
      </c>
      <c r="E56" s="22">
        <v>201.19</v>
      </c>
      <c r="F56" s="22">
        <v>205.68</v>
      </c>
      <c r="G56" s="22">
        <v>195.36</v>
      </c>
      <c r="J56" s="22">
        <v>54</v>
      </c>
      <c r="K56" s="22">
        <v>340</v>
      </c>
      <c r="L56" s="22">
        <v>361.37</v>
      </c>
      <c r="M56" s="22">
        <v>335.23</v>
      </c>
      <c r="N56" s="22">
        <v>325.26</v>
      </c>
      <c r="O56" s="22">
        <v>327.11</v>
      </c>
      <c r="P56" s="22">
        <v>336.68</v>
      </c>
      <c r="S56" s="22">
        <v>54</v>
      </c>
      <c r="T56" s="22">
        <v>471.71</v>
      </c>
      <c r="U56" s="22">
        <v>528.87</v>
      </c>
      <c r="V56" s="22">
        <v>458.1</v>
      </c>
      <c r="W56" s="22">
        <v>450.26</v>
      </c>
      <c r="X56" s="22">
        <v>441.28</v>
      </c>
      <c r="Y56" s="22">
        <v>430.77</v>
      </c>
      <c r="AB56" s="22">
        <v>54</v>
      </c>
      <c r="AC56" s="22">
        <v>935.13</v>
      </c>
      <c r="AD56" s="22">
        <v>972.92</v>
      </c>
      <c r="AE56" s="22">
        <v>904.32</v>
      </c>
      <c r="AF56" s="22">
        <v>901.56</v>
      </c>
      <c r="AG56" s="22">
        <v>880.78</v>
      </c>
      <c r="AH56" s="22">
        <v>856.61</v>
      </c>
    </row>
    <row r="57" spans="1:34">
      <c r="A57" s="22">
        <v>55</v>
      </c>
      <c r="B57" s="22">
        <v>219.27</v>
      </c>
      <c r="C57" s="22">
        <v>227.03</v>
      </c>
      <c r="D57" s="22">
        <v>207.64</v>
      </c>
      <c r="E57" s="22">
        <v>201.19</v>
      </c>
      <c r="F57" s="22">
        <v>205.68</v>
      </c>
      <c r="G57" s="22">
        <v>195.36</v>
      </c>
      <c r="J57" s="22">
        <v>55</v>
      </c>
      <c r="K57" s="22">
        <v>340</v>
      </c>
      <c r="L57" s="22">
        <v>361.37</v>
      </c>
      <c r="M57" s="22">
        <v>335.23</v>
      </c>
      <c r="N57" s="22">
        <v>323.58</v>
      </c>
      <c r="O57" s="22">
        <v>327.11</v>
      </c>
      <c r="P57" s="22">
        <v>322.82</v>
      </c>
      <c r="S57" s="22">
        <v>55</v>
      </c>
      <c r="T57" s="22">
        <v>471.71</v>
      </c>
      <c r="U57" s="22">
        <v>528.87</v>
      </c>
      <c r="V57" s="22">
        <v>458.1</v>
      </c>
      <c r="W57" s="22">
        <v>450.26</v>
      </c>
      <c r="X57" s="22">
        <v>441.28</v>
      </c>
      <c r="Y57" s="22">
        <v>430.77</v>
      </c>
      <c r="AB57" s="22">
        <v>55</v>
      </c>
      <c r="AC57" s="22">
        <v>935.13</v>
      </c>
      <c r="AD57" s="22">
        <v>972.92</v>
      </c>
      <c r="AE57" s="22">
        <v>904.32</v>
      </c>
      <c r="AF57" s="22">
        <v>898.11</v>
      </c>
      <c r="AG57" s="22">
        <v>880.78</v>
      </c>
      <c r="AH57" s="22">
        <v>856.61</v>
      </c>
    </row>
    <row r="58" spans="1:34">
      <c r="A58" s="22">
        <v>56</v>
      </c>
      <c r="B58" s="22">
        <v>219.27</v>
      </c>
      <c r="C58" s="22">
        <v>227.03</v>
      </c>
      <c r="D58" s="22">
        <v>207.64</v>
      </c>
      <c r="E58" s="22">
        <v>201.19</v>
      </c>
      <c r="F58" s="22">
        <v>205.68</v>
      </c>
      <c r="G58" s="22">
        <v>195.36</v>
      </c>
      <c r="J58" s="22">
        <v>56</v>
      </c>
      <c r="K58" s="22">
        <v>340</v>
      </c>
      <c r="L58" s="22">
        <v>361.37</v>
      </c>
      <c r="M58" s="22">
        <v>335.23</v>
      </c>
      <c r="N58" s="22">
        <v>323.58</v>
      </c>
      <c r="O58" s="22">
        <v>327.11</v>
      </c>
      <c r="P58" s="22">
        <v>322.82</v>
      </c>
      <c r="S58" s="22">
        <v>56</v>
      </c>
      <c r="T58" s="22">
        <v>471.71</v>
      </c>
      <c r="U58" s="22">
        <v>528.87</v>
      </c>
      <c r="V58" s="22">
        <v>458.1</v>
      </c>
      <c r="W58" s="22">
        <v>450.26</v>
      </c>
      <c r="X58" s="22">
        <v>441.28</v>
      </c>
      <c r="Y58" s="22">
        <v>430.77</v>
      </c>
      <c r="AB58" s="22">
        <v>56</v>
      </c>
      <c r="AC58" s="22">
        <v>931.52</v>
      </c>
      <c r="AD58" s="22">
        <v>972.92</v>
      </c>
      <c r="AE58" s="22">
        <v>902.34</v>
      </c>
      <c r="AF58" s="22">
        <v>898.11</v>
      </c>
      <c r="AG58" s="22">
        <v>880.78</v>
      </c>
      <c r="AH58" s="22">
        <v>856.61</v>
      </c>
    </row>
    <row r="59" spans="1:34">
      <c r="A59" s="22">
        <v>57</v>
      </c>
      <c r="B59" s="22">
        <v>219.27</v>
      </c>
      <c r="C59" s="22">
        <v>227.03</v>
      </c>
      <c r="D59" s="22">
        <v>207.64</v>
      </c>
      <c r="E59" s="22">
        <v>201.19</v>
      </c>
      <c r="F59" s="22">
        <v>205.68</v>
      </c>
      <c r="G59" s="22">
        <v>195.36</v>
      </c>
      <c r="J59" s="22">
        <v>57</v>
      </c>
      <c r="K59" s="22">
        <v>340</v>
      </c>
      <c r="L59" s="22">
        <v>361.37</v>
      </c>
      <c r="M59" s="22">
        <v>335.23</v>
      </c>
      <c r="N59" s="22">
        <v>323.58</v>
      </c>
      <c r="O59" s="22">
        <v>327.11</v>
      </c>
      <c r="P59" s="22">
        <v>322.82</v>
      </c>
      <c r="S59" s="22">
        <v>57</v>
      </c>
      <c r="T59" s="22">
        <v>471.71</v>
      </c>
      <c r="U59" s="22">
        <v>528.87</v>
      </c>
      <c r="V59" s="22">
        <v>458.1</v>
      </c>
      <c r="W59" s="22">
        <v>450.26</v>
      </c>
      <c r="X59" s="22">
        <v>441.28</v>
      </c>
      <c r="Y59" s="22">
        <v>430.77</v>
      </c>
      <c r="AB59" s="22">
        <v>57</v>
      </c>
      <c r="AC59" s="22">
        <v>931.52</v>
      </c>
      <c r="AD59" s="22">
        <v>972.92</v>
      </c>
      <c r="AE59" s="22">
        <v>902.34</v>
      </c>
      <c r="AF59" s="22">
        <v>898.11</v>
      </c>
      <c r="AG59" s="22">
        <v>880.78</v>
      </c>
      <c r="AH59" s="22">
        <v>856.61</v>
      </c>
    </row>
    <row r="60" spans="1:34">
      <c r="A60" s="22">
        <v>58</v>
      </c>
      <c r="B60" s="22">
        <v>219.27</v>
      </c>
      <c r="C60" s="22">
        <v>227.03</v>
      </c>
      <c r="D60" s="22">
        <v>207.64</v>
      </c>
      <c r="E60" s="22">
        <v>201.19</v>
      </c>
      <c r="F60" s="22">
        <v>205.68</v>
      </c>
      <c r="G60" s="22">
        <v>195.36</v>
      </c>
      <c r="J60" s="22">
        <v>58</v>
      </c>
      <c r="K60" s="22">
        <v>340</v>
      </c>
      <c r="L60" s="22">
        <v>361.37</v>
      </c>
      <c r="M60" s="22">
        <v>335.23</v>
      </c>
      <c r="N60" s="22">
        <v>323.58</v>
      </c>
      <c r="O60" s="22">
        <v>327.11</v>
      </c>
      <c r="P60" s="22">
        <v>322.82</v>
      </c>
      <c r="S60" s="22">
        <v>58</v>
      </c>
      <c r="T60" s="22">
        <v>471.71</v>
      </c>
      <c r="U60" s="22">
        <v>528.87</v>
      </c>
      <c r="V60" s="22">
        <v>448.44</v>
      </c>
      <c r="W60" s="22">
        <v>440.6</v>
      </c>
      <c r="X60" s="22">
        <v>441.28</v>
      </c>
      <c r="Y60" s="22">
        <v>430.77</v>
      </c>
      <c r="AB60" s="22">
        <v>58</v>
      </c>
      <c r="AC60" s="22">
        <v>931.52</v>
      </c>
      <c r="AD60" s="22">
        <v>972.92</v>
      </c>
      <c r="AE60" s="22">
        <v>902.34</v>
      </c>
      <c r="AF60" s="22">
        <v>898.11</v>
      </c>
      <c r="AG60" s="22">
        <v>880.78</v>
      </c>
      <c r="AH60" s="22">
        <v>856.61</v>
      </c>
    </row>
    <row r="61" spans="1:34">
      <c r="A61" s="22">
        <v>59</v>
      </c>
      <c r="B61" s="22">
        <v>219.27</v>
      </c>
      <c r="C61" s="22">
        <v>227.03</v>
      </c>
      <c r="D61" s="22">
        <v>207.64</v>
      </c>
      <c r="E61" s="22">
        <v>201.19</v>
      </c>
      <c r="F61" s="22">
        <v>205.68</v>
      </c>
      <c r="G61" s="22">
        <v>195.36</v>
      </c>
      <c r="J61" s="22">
        <v>59</v>
      </c>
      <c r="K61" s="22">
        <v>333.52</v>
      </c>
      <c r="L61" s="22">
        <v>361.37</v>
      </c>
      <c r="M61" s="22">
        <v>335.23</v>
      </c>
      <c r="N61" s="22">
        <v>323.58</v>
      </c>
      <c r="O61" s="22">
        <v>327.11</v>
      </c>
      <c r="P61" s="22">
        <v>322.82</v>
      </c>
      <c r="S61" s="22">
        <v>59</v>
      </c>
      <c r="T61" s="22">
        <v>471.71</v>
      </c>
      <c r="U61" s="22">
        <v>528.87</v>
      </c>
      <c r="V61" s="22">
        <v>448.44</v>
      </c>
      <c r="W61" s="22">
        <v>440.6</v>
      </c>
      <c r="X61" s="22">
        <v>441.28</v>
      </c>
      <c r="Y61" s="22">
        <v>430.77</v>
      </c>
      <c r="AB61" s="22">
        <v>59</v>
      </c>
      <c r="AC61" s="22">
        <v>931.52</v>
      </c>
      <c r="AD61" s="22">
        <v>968.92</v>
      </c>
      <c r="AE61" s="22">
        <v>902.34</v>
      </c>
      <c r="AF61" s="22">
        <v>898.11</v>
      </c>
      <c r="AG61" s="22">
        <v>880.78</v>
      </c>
      <c r="AH61" s="22">
        <v>856.61</v>
      </c>
    </row>
    <row r="62" spans="1:34">
      <c r="A62" s="22">
        <v>60</v>
      </c>
      <c r="B62" s="22">
        <v>219.27</v>
      </c>
      <c r="C62" s="22">
        <v>227.03</v>
      </c>
      <c r="D62" s="22">
        <v>207.64</v>
      </c>
      <c r="E62" s="22">
        <v>201.19</v>
      </c>
      <c r="F62" s="22">
        <v>205.68</v>
      </c>
      <c r="G62" s="22">
        <v>195.36</v>
      </c>
      <c r="J62" s="22">
        <v>60</v>
      </c>
      <c r="K62" s="22">
        <v>333.52</v>
      </c>
      <c r="L62" s="22">
        <v>361.37</v>
      </c>
      <c r="M62" s="22">
        <v>335.23</v>
      </c>
      <c r="N62" s="22">
        <v>323.58</v>
      </c>
      <c r="O62" s="22">
        <v>327.11</v>
      </c>
      <c r="P62" s="22">
        <v>322.82</v>
      </c>
      <c r="S62" s="22">
        <v>60</v>
      </c>
      <c r="T62" s="22">
        <v>471.71</v>
      </c>
      <c r="U62" s="22">
        <v>528.87</v>
      </c>
      <c r="V62" s="22">
        <v>448.44</v>
      </c>
      <c r="W62" s="22">
        <v>440.6</v>
      </c>
      <c r="X62" s="22">
        <v>441.28</v>
      </c>
      <c r="Y62" s="22">
        <v>430.77</v>
      </c>
      <c r="AB62" s="22">
        <v>60</v>
      </c>
      <c r="AC62" s="22">
        <v>931.52</v>
      </c>
      <c r="AD62" s="22">
        <v>968.92</v>
      </c>
      <c r="AE62" s="22">
        <v>893.61</v>
      </c>
      <c r="AF62" s="22">
        <v>898.11</v>
      </c>
      <c r="AG62" s="22">
        <v>880.78</v>
      </c>
      <c r="AH62" s="22">
        <v>856.61</v>
      </c>
    </row>
    <row r="63" spans="1:34">
      <c r="A63" s="22">
        <v>61</v>
      </c>
      <c r="B63" s="22">
        <v>219.27</v>
      </c>
      <c r="C63" s="22">
        <v>227.03</v>
      </c>
      <c r="D63" s="22">
        <v>207.64</v>
      </c>
      <c r="E63" s="22">
        <v>201.19</v>
      </c>
      <c r="F63" s="22">
        <v>205.68</v>
      </c>
      <c r="G63" s="22">
        <v>195.36</v>
      </c>
      <c r="J63" s="22">
        <v>61</v>
      </c>
      <c r="K63" s="22">
        <v>333.52</v>
      </c>
      <c r="L63" s="22">
        <v>361.37</v>
      </c>
      <c r="M63" s="22">
        <v>335.23</v>
      </c>
      <c r="N63" s="22">
        <v>323.58</v>
      </c>
      <c r="O63" s="22">
        <v>327.11</v>
      </c>
      <c r="P63" s="22">
        <v>322.82</v>
      </c>
      <c r="S63" s="22">
        <v>61</v>
      </c>
      <c r="T63" s="22">
        <v>471.71</v>
      </c>
      <c r="U63" s="22">
        <v>528.87</v>
      </c>
      <c r="V63" s="22">
        <v>448.44</v>
      </c>
      <c r="W63" s="22">
        <v>440.6</v>
      </c>
      <c r="X63" s="22">
        <v>441.28</v>
      </c>
      <c r="Y63" s="22">
        <v>430.77</v>
      </c>
      <c r="AB63" s="22">
        <v>61</v>
      </c>
      <c r="AC63" s="22">
        <v>931.52</v>
      </c>
      <c r="AD63" s="22">
        <v>968.92</v>
      </c>
      <c r="AE63" s="22">
        <v>893.61</v>
      </c>
      <c r="AF63" s="22">
        <v>898.11</v>
      </c>
      <c r="AG63" s="22">
        <v>880.78</v>
      </c>
      <c r="AH63" s="22">
        <v>856.61</v>
      </c>
    </row>
    <row r="64" spans="1:34">
      <c r="A64" s="22">
        <v>62</v>
      </c>
      <c r="B64" s="22">
        <v>219.27</v>
      </c>
      <c r="C64" s="22">
        <v>227.03</v>
      </c>
      <c r="D64" s="22">
        <v>207.64</v>
      </c>
      <c r="E64" s="22">
        <v>201.19</v>
      </c>
      <c r="F64" s="22">
        <v>205.68</v>
      </c>
      <c r="G64" s="22">
        <v>195.36</v>
      </c>
      <c r="J64" s="22">
        <v>62</v>
      </c>
      <c r="K64" s="22">
        <v>333.52</v>
      </c>
      <c r="L64" s="22">
        <v>361.37</v>
      </c>
      <c r="M64" s="22">
        <v>335.23</v>
      </c>
      <c r="N64" s="22">
        <v>323.58</v>
      </c>
      <c r="O64" s="22">
        <v>327.11</v>
      </c>
      <c r="P64" s="22">
        <v>322.82</v>
      </c>
      <c r="S64" s="22">
        <v>62</v>
      </c>
      <c r="T64" s="22">
        <v>471.71</v>
      </c>
      <c r="U64" s="22">
        <v>528.87</v>
      </c>
      <c r="V64" s="22">
        <v>448.44</v>
      </c>
      <c r="W64" s="22">
        <v>440.6</v>
      </c>
      <c r="X64" s="22">
        <v>439.9</v>
      </c>
      <c r="Y64" s="22">
        <v>430.77</v>
      </c>
      <c r="AB64" s="22">
        <v>62</v>
      </c>
      <c r="AC64" s="22">
        <v>931.52</v>
      </c>
      <c r="AD64" s="22">
        <v>968.92</v>
      </c>
      <c r="AE64" s="22">
        <v>893.61</v>
      </c>
      <c r="AF64" s="22">
        <v>898.11</v>
      </c>
      <c r="AG64" s="22">
        <v>880.78</v>
      </c>
      <c r="AH64" s="22">
        <v>856.61</v>
      </c>
    </row>
    <row r="65" spans="1:34">
      <c r="A65" s="22">
        <v>63</v>
      </c>
      <c r="B65" s="22">
        <v>219.27</v>
      </c>
      <c r="C65" s="22">
        <v>227.03</v>
      </c>
      <c r="D65" s="22">
        <v>207.64</v>
      </c>
      <c r="E65" s="22">
        <v>201.19</v>
      </c>
      <c r="F65" s="22">
        <v>205.68</v>
      </c>
      <c r="G65" s="22">
        <v>195.36</v>
      </c>
      <c r="J65" s="22">
        <v>63</v>
      </c>
      <c r="K65" s="22">
        <v>333.52</v>
      </c>
      <c r="L65" s="22">
        <v>361.37</v>
      </c>
      <c r="M65" s="22">
        <v>335.23</v>
      </c>
      <c r="N65" s="22">
        <v>323.58</v>
      </c>
      <c r="O65" s="22">
        <v>327.11</v>
      </c>
      <c r="P65" s="22">
        <v>322.82</v>
      </c>
      <c r="S65" s="22">
        <v>63</v>
      </c>
      <c r="T65" s="22">
        <v>471.71</v>
      </c>
      <c r="U65" s="22">
        <v>528.87</v>
      </c>
      <c r="V65" s="22">
        <v>448.44</v>
      </c>
      <c r="W65" s="22">
        <v>440.6</v>
      </c>
      <c r="X65" s="22">
        <v>439.9</v>
      </c>
      <c r="Y65" s="22">
        <v>430.77</v>
      </c>
      <c r="AB65" s="22">
        <v>63</v>
      </c>
      <c r="AC65" s="22">
        <v>931.52</v>
      </c>
      <c r="AD65" s="22">
        <v>968.92</v>
      </c>
      <c r="AE65" s="22">
        <v>893.61</v>
      </c>
      <c r="AF65" s="22">
        <v>898.11</v>
      </c>
      <c r="AG65" s="22">
        <v>880.78</v>
      </c>
      <c r="AH65" s="22">
        <v>856.61</v>
      </c>
    </row>
    <row r="66" spans="1:34">
      <c r="A66" s="22">
        <v>64</v>
      </c>
      <c r="B66" s="22">
        <v>219.27</v>
      </c>
      <c r="C66" s="22">
        <v>227.03</v>
      </c>
      <c r="D66" s="22">
        <v>207.64</v>
      </c>
      <c r="E66" s="22">
        <v>201.19</v>
      </c>
      <c r="F66" s="22">
        <v>205.68</v>
      </c>
      <c r="G66" s="22">
        <v>195.36</v>
      </c>
      <c r="J66" s="22">
        <v>64</v>
      </c>
      <c r="K66" s="22">
        <v>333.52</v>
      </c>
      <c r="L66" s="22">
        <v>361.37</v>
      </c>
      <c r="M66" s="22">
        <v>335.23</v>
      </c>
      <c r="N66" s="22">
        <v>323.58</v>
      </c>
      <c r="O66" s="22">
        <v>327.11</v>
      </c>
      <c r="P66" s="22">
        <v>322.82</v>
      </c>
      <c r="S66" s="22">
        <v>64</v>
      </c>
      <c r="T66" s="22">
        <v>471.71</v>
      </c>
      <c r="U66" s="22">
        <v>528.87</v>
      </c>
      <c r="V66" s="22">
        <v>448.44</v>
      </c>
      <c r="W66" s="22">
        <v>440.6</v>
      </c>
      <c r="X66" s="22">
        <v>439.66</v>
      </c>
      <c r="Y66" s="22">
        <v>430.77</v>
      </c>
      <c r="AB66" s="22">
        <v>64</v>
      </c>
      <c r="AC66" s="22">
        <v>931.52</v>
      </c>
      <c r="AD66" s="22">
        <v>968.92</v>
      </c>
      <c r="AE66" s="22">
        <v>893.61</v>
      </c>
      <c r="AF66" s="22">
        <v>898.11</v>
      </c>
      <c r="AG66" s="22">
        <v>880.78</v>
      </c>
      <c r="AH66" s="22">
        <v>856.61</v>
      </c>
    </row>
    <row r="67" spans="1:34">
      <c r="A67" s="22">
        <v>65</v>
      </c>
      <c r="B67" s="22">
        <v>219.27</v>
      </c>
      <c r="C67" s="22">
        <v>227.03</v>
      </c>
      <c r="D67" s="22">
        <v>207.64</v>
      </c>
      <c r="E67" s="22">
        <v>201.19</v>
      </c>
      <c r="F67" s="22">
        <v>205.68</v>
      </c>
      <c r="G67" s="22">
        <v>195.36</v>
      </c>
      <c r="J67" s="22">
        <v>65</v>
      </c>
      <c r="K67" s="22">
        <v>333.52</v>
      </c>
      <c r="L67" s="22">
        <v>359.21</v>
      </c>
      <c r="M67" s="22">
        <v>335.23</v>
      </c>
      <c r="N67" s="22">
        <v>323.58</v>
      </c>
      <c r="O67" s="22">
        <v>327.11</v>
      </c>
      <c r="P67" s="22">
        <v>322.82</v>
      </c>
      <c r="S67" s="22">
        <v>65</v>
      </c>
      <c r="T67" s="22">
        <v>471.71</v>
      </c>
      <c r="U67" s="22">
        <v>528.87</v>
      </c>
      <c r="V67" s="22">
        <v>448.44</v>
      </c>
      <c r="W67" s="22">
        <v>440.6</v>
      </c>
      <c r="X67" s="22">
        <v>439.66</v>
      </c>
      <c r="Y67" s="22">
        <v>430.77</v>
      </c>
      <c r="AB67" s="22">
        <v>65</v>
      </c>
      <c r="AC67" s="22">
        <v>931.52</v>
      </c>
      <c r="AD67" s="22">
        <v>968.92</v>
      </c>
      <c r="AE67" s="22">
        <v>893.61</v>
      </c>
      <c r="AF67" s="22">
        <v>898.11</v>
      </c>
      <c r="AG67" s="22">
        <v>880.78</v>
      </c>
      <c r="AH67" s="22">
        <v>856.61</v>
      </c>
    </row>
    <row r="68" spans="1:34">
      <c r="A68" s="22">
        <v>66</v>
      </c>
      <c r="B68" s="22">
        <v>219.27</v>
      </c>
      <c r="C68" s="22">
        <v>227.03</v>
      </c>
      <c r="D68" s="22">
        <v>207.64</v>
      </c>
      <c r="E68" s="22">
        <v>201.19</v>
      </c>
      <c r="F68" s="22">
        <v>205.68</v>
      </c>
      <c r="G68" s="22">
        <v>195.36</v>
      </c>
      <c r="J68" s="22">
        <v>66</v>
      </c>
      <c r="K68" s="22">
        <v>333.52</v>
      </c>
      <c r="L68" s="22">
        <v>359.21</v>
      </c>
      <c r="M68" s="22">
        <v>335.23</v>
      </c>
      <c r="N68" s="22">
        <v>323.58</v>
      </c>
      <c r="O68" s="22">
        <v>327.11</v>
      </c>
      <c r="P68" s="22">
        <v>322.82</v>
      </c>
      <c r="S68" s="22">
        <v>66</v>
      </c>
      <c r="T68" s="22">
        <v>471.71</v>
      </c>
      <c r="U68" s="22">
        <v>528.87</v>
      </c>
      <c r="V68" s="22">
        <v>448.44</v>
      </c>
      <c r="W68" s="22">
        <v>440.6</v>
      </c>
      <c r="X68" s="22">
        <v>439.66</v>
      </c>
      <c r="Y68" s="22">
        <v>430.77</v>
      </c>
      <c r="AB68" s="22">
        <v>66</v>
      </c>
      <c r="AC68" s="22">
        <v>931.52</v>
      </c>
      <c r="AD68" s="22">
        <v>968.92</v>
      </c>
      <c r="AE68" s="22">
        <v>893.61</v>
      </c>
      <c r="AF68" s="22">
        <v>898.11</v>
      </c>
      <c r="AG68" s="22">
        <v>880.78</v>
      </c>
      <c r="AH68" s="22">
        <v>856.61</v>
      </c>
    </row>
    <row r="69" spans="1:34">
      <c r="A69" s="22">
        <v>67</v>
      </c>
      <c r="B69" s="22">
        <v>219.27</v>
      </c>
      <c r="C69" s="22">
        <v>227.03</v>
      </c>
      <c r="D69" s="22">
        <v>207.64</v>
      </c>
      <c r="E69" s="22">
        <v>201.19</v>
      </c>
      <c r="F69" s="22">
        <v>205.68</v>
      </c>
      <c r="G69" s="22">
        <v>195.36</v>
      </c>
      <c r="J69" s="22">
        <v>67</v>
      </c>
      <c r="K69" s="22">
        <v>333.52</v>
      </c>
      <c r="L69" s="22">
        <v>359.21</v>
      </c>
      <c r="M69" s="22">
        <v>335.23</v>
      </c>
      <c r="N69" s="22">
        <v>323.58</v>
      </c>
      <c r="O69" s="22">
        <v>327.11</v>
      </c>
      <c r="P69" s="22">
        <v>322.82</v>
      </c>
      <c r="S69" s="22">
        <v>67</v>
      </c>
      <c r="T69" s="22">
        <v>471.71</v>
      </c>
      <c r="U69" s="22">
        <v>528.87</v>
      </c>
      <c r="V69" s="22">
        <v>448.44</v>
      </c>
      <c r="W69" s="22">
        <v>440.6</v>
      </c>
      <c r="X69" s="22">
        <v>439.66</v>
      </c>
      <c r="Y69" s="22">
        <v>430.77</v>
      </c>
      <c r="AB69" s="22">
        <v>67</v>
      </c>
      <c r="AC69" s="22">
        <v>931.52</v>
      </c>
      <c r="AD69" s="22">
        <v>968.92</v>
      </c>
      <c r="AE69" s="22">
        <v>893.61</v>
      </c>
      <c r="AF69" s="22">
        <v>898.11</v>
      </c>
      <c r="AG69" s="22">
        <v>880.78</v>
      </c>
      <c r="AH69" s="22">
        <v>856.61</v>
      </c>
    </row>
    <row r="70" spans="1:34">
      <c r="A70" s="22">
        <v>68</v>
      </c>
      <c r="B70" s="22">
        <v>219.27</v>
      </c>
      <c r="C70" s="22">
        <v>227.03</v>
      </c>
      <c r="D70" s="22">
        <v>207.64</v>
      </c>
      <c r="E70" s="22">
        <v>201.19</v>
      </c>
      <c r="F70" s="22">
        <v>205.68</v>
      </c>
      <c r="G70" s="22">
        <v>195.36</v>
      </c>
      <c r="J70" s="22">
        <v>68</v>
      </c>
      <c r="K70" s="22">
        <v>333.52</v>
      </c>
      <c r="L70" s="22">
        <v>359.21</v>
      </c>
      <c r="M70" s="22">
        <v>335.23</v>
      </c>
      <c r="N70" s="22">
        <v>323.58</v>
      </c>
      <c r="O70" s="22">
        <v>327.11</v>
      </c>
      <c r="P70" s="22">
        <v>322.82</v>
      </c>
      <c r="S70" s="22">
        <v>68</v>
      </c>
      <c r="T70" s="22">
        <v>471.71</v>
      </c>
      <c r="U70" s="22">
        <v>528.87</v>
      </c>
      <c r="V70" s="22">
        <v>448.44</v>
      </c>
      <c r="W70" s="22">
        <v>440.6</v>
      </c>
      <c r="X70" s="22">
        <v>439.66</v>
      </c>
      <c r="Y70" s="22">
        <v>430.77</v>
      </c>
      <c r="AB70" s="22">
        <v>68</v>
      </c>
      <c r="AC70" s="22">
        <v>931.52</v>
      </c>
      <c r="AD70" s="22">
        <v>968.92</v>
      </c>
      <c r="AE70" s="22">
        <v>893.61</v>
      </c>
      <c r="AF70" s="22">
        <v>898.11</v>
      </c>
      <c r="AG70" s="22">
        <v>880.78</v>
      </c>
      <c r="AH70" s="22">
        <v>856.61</v>
      </c>
    </row>
    <row r="71" spans="1:34">
      <c r="A71" s="22">
        <v>69</v>
      </c>
      <c r="B71" s="22">
        <v>219.27</v>
      </c>
      <c r="C71" s="22">
        <v>227.03</v>
      </c>
      <c r="D71" s="22">
        <v>207.64</v>
      </c>
      <c r="E71" s="22">
        <v>201.19</v>
      </c>
      <c r="F71" s="22">
        <v>205.68</v>
      </c>
      <c r="G71" s="22">
        <v>195.36</v>
      </c>
      <c r="J71" s="22">
        <v>69</v>
      </c>
      <c r="K71" s="22">
        <v>333.52</v>
      </c>
      <c r="L71" s="22">
        <v>359.21</v>
      </c>
      <c r="M71" s="22">
        <v>335.23</v>
      </c>
      <c r="N71" s="22">
        <v>323.58</v>
      </c>
      <c r="O71" s="22">
        <v>327.11</v>
      </c>
      <c r="P71" s="22">
        <v>322.82</v>
      </c>
      <c r="S71" s="22">
        <v>69</v>
      </c>
      <c r="T71" s="22">
        <v>471.71</v>
      </c>
      <c r="U71" s="22">
        <v>528.87</v>
      </c>
      <c r="V71" s="22">
        <v>448.44</v>
      </c>
      <c r="W71" s="22">
        <v>440.6</v>
      </c>
      <c r="X71" s="22">
        <v>439.66</v>
      </c>
      <c r="Y71" s="22">
        <v>430.77</v>
      </c>
      <c r="AB71" s="22">
        <v>69</v>
      </c>
      <c r="AC71" s="22">
        <v>931.52</v>
      </c>
      <c r="AD71" s="22">
        <v>968.92</v>
      </c>
      <c r="AE71" s="22">
        <v>893.61</v>
      </c>
      <c r="AF71" s="22">
        <v>898.11</v>
      </c>
      <c r="AG71" s="22">
        <v>880.78</v>
      </c>
      <c r="AH71" s="22">
        <v>856.61</v>
      </c>
    </row>
    <row r="72" spans="1:34">
      <c r="A72" s="22">
        <v>70</v>
      </c>
      <c r="B72" s="22">
        <v>219.27</v>
      </c>
      <c r="C72" s="22">
        <v>227.03</v>
      </c>
      <c r="D72" s="22">
        <v>207.64</v>
      </c>
      <c r="E72" s="22">
        <v>201.19</v>
      </c>
      <c r="F72" s="22">
        <v>205.68</v>
      </c>
      <c r="G72" s="22">
        <v>195.36</v>
      </c>
      <c r="J72" s="22">
        <v>70</v>
      </c>
      <c r="K72" s="22">
        <v>333.52</v>
      </c>
      <c r="L72" s="22">
        <v>359.21</v>
      </c>
      <c r="M72" s="22">
        <v>335.23</v>
      </c>
      <c r="N72" s="22">
        <v>323.58</v>
      </c>
      <c r="O72" s="22">
        <v>327.11</v>
      </c>
      <c r="P72" s="22">
        <v>322.82</v>
      </c>
      <c r="S72" s="22">
        <v>70</v>
      </c>
      <c r="T72" s="22">
        <v>471.71</v>
      </c>
      <c r="U72" s="22">
        <v>528.87</v>
      </c>
      <c r="V72" s="22">
        <v>448.44</v>
      </c>
      <c r="W72" s="22">
        <v>440.6</v>
      </c>
      <c r="X72" s="22">
        <v>439.66</v>
      </c>
      <c r="Y72" s="22">
        <v>430.77</v>
      </c>
      <c r="AB72" s="22">
        <v>70</v>
      </c>
      <c r="AC72" s="22">
        <v>931.52</v>
      </c>
      <c r="AD72" s="22">
        <v>968.92</v>
      </c>
      <c r="AE72" s="22">
        <v>893.61</v>
      </c>
      <c r="AF72" s="22">
        <v>898.11</v>
      </c>
      <c r="AG72" s="22">
        <v>880.78</v>
      </c>
      <c r="AH72" s="22">
        <v>856.61</v>
      </c>
    </row>
    <row r="73" spans="1:34">
      <c r="A73" s="22">
        <v>71</v>
      </c>
      <c r="B73" s="22">
        <v>219.27</v>
      </c>
      <c r="C73" s="22">
        <v>227.03</v>
      </c>
      <c r="D73" s="22">
        <v>207.64</v>
      </c>
      <c r="E73" s="22">
        <v>201.19</v>
      </c>
      <c r="F73" s="22">
        <v>205.68</v>
      </c>
      <c r="G73" s="22">
        <v>195.36</v>
      </c>
      <c r="J73" s="22">
        <v>71</v>
      </c>
      <c r="K73" s="22">
        <v>333.52</v>
      </c>
      <c r="L73" s="22">
        <v>359.21</v>
      </c>
      <c r="M73" s="22">
        <v>335.23</v>
      </c>
      <c r="N73" s="22">
        <v>323.58</v>
      </c>
      <c r="O73" s="22">
        <v>327.11</v>
      </c>
      <c r="P73" s="22">
        <v>322.82</v>
      </c>
      <c r="S73" s="22">
        <v>71</v>
      </c>
      <c r="T73" s="22">
        <v>471.71</v>
      </c>
      <c r="U73" s="22">
        <v>528.87</v>
      </c>
      <c r="V73" s="22">
        <v>448.44</v>
      </c>
      <c r="W73" s="22">
        <v>440.6</v>
      </c>
      <c r="X73" s="22">
        <v>439.66</v>
      </c>
      <c r="Y73" s="22">
        <v>430.77</v>
      </c>
      <c r="AB73" s="22">
        <v>71</v>
      </c>
      <c r="AC73" s="22">
        <v>931.52</v>
      </c>
      <c r="AD73" s="22">
        <v>968.92</v>
      </c>
      <c r="AE73" s="22">
        <v>893.61</v>
      </c>
      <c r="AF73" s="22">
        <v>898.11</v>
      </c>
      <c r="AG73" s="22">
        <v>880.78</v>
      </c>
      <c r="AH73" s="22">
        <v>856.61</v>
      </c>
    </row>
    <row r="74" spans="1:34">
      <c r="A74" s="22">
        <v>72</v>
      </c>
      <c r="B74" s="22">
        <v>219.27</v>
      </c>
      <c r="C74" s="22">
        <v>227.03</v>
      </c>
      <c r="D74" s="22">
        <v>207.64</v>
      </c>
      <c r="E74" s="22">
        <v>201.19</v>
      </c>
      <c r="F74" s="22">
        <v>205.68</v>
      </c>
      <c r="G74" s="22">
        <v>195.36</v>
      </c>
      <c r="J74" s="22">
        <v>72</v>
      </c>
      <c r="K74" s="22">
        <v>333.52</v>
      </c>
      <c r="L74" s="22">
        <v>359.21</v>
      </c>
      <c r="M74" s="22">
        <v>335.23</v>
      </c>
      <c r="N74" s="22">
        <v>323.58</v>
      </c>
      <c r="O74" s="22">
        <v>327.11</v>
      </c>
      <c r="P74" s="22">
        <v>322.82</v>
      </c>
      <c r="S74" s="22">
        <v>72</v>
      </c>
      <c r="T74" s="22">
        <v>471.71</v>
      </c>
      <c r="U74" s="22">
        <v>528.87</v>
      </c>
      <c r="V74" s="22">
        <v>448.44</v>
      </c>
      <c r="W74" s="22">
        <v>440.6</v>
      </c>
      <c r="X74" s="22">
        <v>437.21</v>
      </c>
      <c r="Y74" s="22">
        <v>430.77</v>
      </c>
      <c r="AB74" s="22">
        <v>72</v>
      </c>
      <c r="AC74" s="22">
        <v>931.52</v>
      </c>
      <c r="AD74" s="22">
        <v>968.92</v>
      </c>
      <c r="AE74" s="22">
        <v>893.61</v>
      </c>
      <c r="AF74" s="22">
        <v>898.11</v>
      </c>
      <c r="AG74" s="22">
        <v>880.78</v>
      </c>
      <c r="AH74" s="22">
        <v>856.61</v>
      </c>
    </row>
    <row r="75" spans="1:34">
      <c r="A75" s="22">
        <v>73</v>
      </c>
      <c r="B75" s="22">
        <v>219.27</v>
      </c>
      <c r="C75" s="22">
        <v>227.03</v>
      </c>
      <c r="D75" s="22">
        <v>207.64</v>
      </c>
      <c r="E75" s="22">
        <v>201.19</v>
      </c>
      <c r="F75" s="22">
        <v>205.68</v>
      </c>
      <c r="G75" s="22">
        <v>195.36</v>
      </c>
      <c r="J75" s="22">
        <v>73</v>
      </c>
      <c r="K75" s="22">
        <v>333.52</v>
      </c>
      <c r="L75" s="22">
        <v>359.21</v>
      </c>
      <c r="M75" s="22">
        <v>335.23</v>
      </c>
      <c r="N75" s="22">
        <v>323.58</v>
      </c>
      <c r="O75" s="22">
        <v>327.11</v>
      </c>
      <c r="P75" s="22">
        <v>322.82</v>
      </c>
      <c r="S75" s="22">
        <v>73</v>
      </c>
      <c r="T75" s="22">
        <v>471.71</v>
      </c>
      <c r="U75" s="22">
        <v>528.87</v>
      </c>
      <c r="V75" s="22">
        <v>448.44</v>
      </c>
      <c r="W75" s="22">
        <v>440.6</v>
      </c>
      <c r="X75" s="22">
        <v>437.21</v>
      </c>
      <c r="Y75" s="22">
        <v>430.77</v>
      </c>
      <c r="AB75" s="22">
        <v>73</v>
      </c>
      <c r="AC75" s="22">
        <v>931.52</v>
      </c>
      <c r="AD75" s="22">
        <v>968.92</v>
      </c>
      <c r="AE75" s="22">
        <v>893.61</v>
      </c>
      <c r="AF75" s="22">
        <v>898.11</v>
      </c>
      <c r="AG75" s="22">
        <v>876.4</v>
      </c>
      <c r="AH75" s="22">
        <v>856.61</v>
      </c>
    </row>
    <row r="76" spans="1:34">
      <c r="A76" s="22">
        <v>74</v>
      </c>
      <c r="B76" s="22">
        <v>219.27</v>
      </c>
      <c r="C76" s="22">
        <v>227.03</v>
      </c>
      <c r="D76" s="22">
        <v>207.64</v>
      </c>
      <c r="E76" s="22">
        <v>201.19</v>
      </c>
      <c r="F76" s="22">
        <v>205.68</v>
      </c>
      <c r="G76" s="22">
        <v>194.41</v>
      </c>
      <c r="J76" s="22">
        <v>74</v>
      </c>
      <c r="K76" s="22">
        <v>333.52</v>
      </c>
      <c r="L76" s="22">
        <v>359.21</v>
      </c>
      <c r="M76" s="22">
        <v>335.23</v>
      </c>
      <c r="N76" s="22">
        <v>323.58</v>
      </c>
      <c r="O76" s="22">
        <v>327.11</v>
      </c>
      <c r="P76" s="22">
        <v>322.82</v>
      </c>
      <c r="S76" s="22">
        <v>74</v>
      </c>
      <c r="T76" s="22">
        <v>471.71</v>
      </c>
      <c r="U76" s="22">
        <v>528.87</v>
      </c>
      <c r="V76" s="22">
        <v>448.44</v>
      </c>
      <c r="W76" s="22">
        <v>440.6</v>
      </c>
      <c r="X76" s="22">
        <v>437.21</v>
      </c>
      <c r="Y76" s="22">
        <v>430.77</v>
      </c>
      <c r="AB76" s="22">
        <v>74</v>
      </c>
      <c r="AC76" s="22">
        <v>931.52</v>
      </c>
      <c r="AD76" s="22">
        <v>968.92</v>
      </c>
      <c r="AE76" s="22">
        <v>893.61</v>
      </c>
      <c r="AF76" s="22">
        <v>898.11</v>
      </c>
      <c r="AG76" s="22">
        <v>876.4</v>
      </c>
      <c r="AH76" s="22">
        <v>856.61</v>
      </c>
    </row>
    <row r="77" spans="1:34">
      <c r="A77" s="22">
        <v>75</v>
      </c>
      <c r="B77" s="22">
        <v>219.27</v>
      </c>
      <c r="C77" s="22">
        <v>227.03</v>
      </c>
      <c r="D77" s="22">
        <v>207.64</v>
      </c>
      <c r="E77" s="22">
        <v>201.19</v>
      </c>
      <c r="F77" s="22">
        <v>205.68</v>
      </c>
      <c r="G77" s="22">
        <v>194.41</v>
      </c>
      <c r="J77" s="22">
        <v>75</v>
      </c>
      <c r="K77" s="22">
        <v>333.52</v>
      </c>
      <c r="L77" s="22">
        <v>359.21</v>
      </c>
      <c r="M77" s="22">
        <v>335.23</v>
      </c>
      <c r="N77" s="22">
        <v>323.58</v>
      </c>
      <c r="O77" s="22">
        <v>327.11</v>
      </c>
      <c r="P77" s="22">
        <v>322.82</v>
      </c>
      <c r="S77" s="22">
        <v>75</v>
      </c>
      <c r="T77" s="22">
        <v>471.71</v>
      </c>
      <c r="U77" s="22">
        <v>528.87</v>
      </c>
      <c r="V77" s="22">
        <v>448.44</v>
      </c>
      <c r="W77" s="22">
        <v>440.6</v>
      </c>
      <c r="X77" s="22">
        <v>437.21</v>
      </c>
      <c r="Y77" s="22">
        <v>426.84</v>
      </c>
      <c r="AB77" s="22">
        <v>75</v>
      </c>
      <c r="AC77" s="22">
        <v>931.52</v>
      </c>
      <c r="AD77" s="22">
        <v>968.92</v>
      </c>
      <c r="AE77" s="22">
        <v>893.61</v>
      </c>
      <c r="AF77" s="22">
        <v>898.11</v>
      </c>
      <c r="AG77" s="22">
        <v>876.4</v>
      </c>
      <c r="AH77" s="22">
        <v>856.61</v>
      </c>
    </row>
    <row r="78" spans="1:34">
      <c r="A78" s="22">
        <v>76</v>
      </c>
      <c r="B78" s="22">
        <v>219.27</v>
      </c>
      <c r="C78" s="22">
        <v>227.03</v>
      </c>
      <c r="D78" s="22">
        <v>207.64</v>
      </c>
      <c r="E78" s="22">
        <v>201.19</v>
      </c>
      <c r="F78" s="22">
        <v>205.68</v>
      </c>
      <c r="G78" s="22">
        <v>194.41</v>
      </c>
      <c r="J78" s="22">
        <v>76</v>
      </c>
      <c r="K78" s="22">
        <v>333.52</v>
      </c>
      <c r="L78" s="22">
        <v>359.21</v>
      </c>
      <c r="M78" s="22">
        <v>335.23</v>
      </c>
      <c r="N78" s="22">
        <v>323.58</v>
      </c>
      <c r="O78" s="22">
        <v>327.11</v>
      </c>
      <c r="P78" s="22">
        <v>322.82</v>
      </c>
      <c r="S78" s="22">
        <v>76</v>
      </c>
      <c r="T78" s="22">
        <v>471.71</v>
      </c>
      <c r="U78" s="22">
        <v>528.87</v>
      </c>
      <c r="V78" s="22">
        <v>448.44</v>
      </c>
      <c r="W78" s="22">
        <v>440.6</v>
      </c>
      <c r="X78" s="22">
        <v>437.21</v>
      </c>
      <c r="Y78" s="22">
        <v>426.84</v>
      </c>
      <c r="AB78" s="22">
        <v>76</v>
      </c>
      <c r="AC78" s="22">
        <v>931.52</v>
      </c>
      <c r="AD78" s="22">
        <v>968.92</v>
      </c>
      <c r="AE78" s="22">
        <v>893.61</v>
      </c>
      <c r="AF78" s="22">
        <v>898.11</v>
      </c>
      <c r="AG78" s="22">
        <v>876.4</v>
      </c>
      <c r="AH78" s="22">
        <v>856.61</v>
      </c>
    </row>
    <row r="79" spans="1:34">
      <c r="A79" s="22">
        <v>77</v>
      </c>
      <c r="B79" s="22">
        <v>219.27</v>
      </c>
      <c r="C79" s="22">
        <v>227.03</v>
      </c>
      <c r="D79" s="22">
        <v>207.64</v>
      </c>
      <c r="E79" s="22">
        <v>201.19</v>
      </c>
      <c r="F79" s="22">
        <v>205.68</v>
      </c>
      <c r="G79" s="22">
        <v>194.41</v>
      </c>
      <c r="J79" s="22">
        <v>77</v>
      </c>
      <c r="K79" s="22">
        <v>333.52</v>
      </c>
      <c r="L79" s="22">
        <v>359.21</v>
      </c>
      <c r="M79" s="22">
        <v>335.23</v>
      </c>
      <c r="N79" s="22">
        <v>323.58</v>
      </c>
      <c r="O79" s="22">
        <v>327.11</v>
      </c>
      <c r="P79" s="22">
        <v>322.82</v>
      </c>
      <c r="S79" s="22">
        <v>77</v>
      </c>
      <c r="T79" s="22">
        <v>471.71</v>
      </c>
      <c r="U79" s="22">
        <v>528.87</v>
      </c>
      <c r="V79" s="22">
        <v>448.44</v>
      </c>
      <c r="W79" s="22">
        <v>440.6</v>
      </c>
      <c r="X79" s="22">
        <v>437.21</v>
      </c>
      <c r="Y79" s="22">
        <v>426.84</v>
      </c>
      <c r="AB79" s="22">
        <v>77</v>
      </c>
      <c r="AC79" s="22">
        <v>931.52</v>
      </c>
      <c r="AD79" s="22">
        <v>968.92</v>
      </c>
      <c r="AE79" s="22">
        <v>893.61</v>
      </c>
      <c r="AF79" s="22">
        <v>898.11</v>
      </c>
      <c r="AG79" s="22">
        <v>876.4</v>
      </c>
      <c r="AH79" s="22">
        <v>856.61</v>
      </c>
    </row>
    <row r="80" spans="1:34">
      <c r="A80" s="22">
        <v>78</v>
      </c>
      <c r="B80" s="22">
        <v>219.27</v>
      </c>
      <c r="C80" s="22">
        <v>227.03</v>
      </c>
      <c r="D80" s="22">
        <v>207.64</v>
      </c>
      <c r="E80" s="22">
        <v>201.19</v>
      </c>
      <c r="F80" s="22">
        <v>205.68</v>
      </c>
      <c r="G80" s="22">
        <v>194.41</v>
      </c>
      <c r="J80" s="22">
        <v>78</v>
      </c>
      <c r="K80" s="22">
        <v>333.52</v>
      </c>
      <c r="L80" s="22">
        <v>359.21</v>
      </c>
      <c r="M80" s="22">
        <v>335.23</v>
      </c>
      <c r="N80" s="22">
        <v>323.58</v>
      </c>
      <c r="O80" s="22">
        <v>327.11</v>
      </c>
      <c r="P80" s="22">
        <v>322.82</v>
      </c>
      <c r="S80" s="22">
        <v>78</v>
      </c>
      <c r="T80" s="22">
        <v>471.71</v>
      </c>
      <c r="U80" s="22">
        <v>525.87</v>
      </c>
      <c r="V80" s="22">
        <v>448.44</v>
      </c>
      <c r="W80" s="22">
        <v>440.6</v>
      </c>
      <c r="X80" s="22">
        <v>437.21</v>
      </c>
      <c r="Y80" s="22">
        <v>426.84</v>
      </c>
      <c r="AB80" s="22">
        <v>78</v>
      </c>
      <c r="AC80" s="22">
        <v>931.52</v>
      </c>
      <c r="AD80" s="22">
        <v>968.92</v>
      </c>
      <c r="AE80" s="22">
        <v>893.61</v>
      </c>
      <c r="AF80" s="22">
        <v>898.11</v>
      </c>
      <c r="AG80" s="22">
        <v>876.4</v>
      </c>
      <c r="AH80" s="22">
        <v>856.61</v>
      </c>
    </row>
    <row r="81" spans="1:34">
      <c r="A81" s="22">
        <v>79</v>
      </c>
      <c r="B81" s="22">
        <v>219.27</v>
      </c>
      <c r="C81" s="22">
        <v>227.03</v>
      </c>
      <c r="D81" s="22">
        <v>207.64</v>
      </c>
      <c r="E81" s="22">
        <v>201.19</v>
      </c>
      <c r="F81" s="22">
        <v>205.68</v>
      </c>
      <c r="G81" s="22">
        <v>194.41</v>
      </c>
      <c r="J81" s="22">
        <v>79</v>
      </c>
      <c r="K81" s="22">
        <v>333.52</v>
      </c>
      <c r="L81" s="22">
        <v>359.21</v>
      </c>
      <c r="M81" s="22">
        <v>335.23</v>
      </c>
      <c r="N81" s="22">
        <v>323.58</v>
      </c>
      <c r="O81" s="22">
        <v>327.11</v>
      </c>
      <c r="P81" s="22">
        <v>322.82</v>
      </c>
      <c r="S81" s="22">
        <v>79</v>
      </c>
      <c r="T81" s="22">
        <v>471.71</v>
      </c>
      <c r="U81" s="22">
        <v>525.87</v>
      </c>
      <c r="V81" s="22">
        <v>448.44</v>
      </c>
      <c r="W81" s="22">
        <v>440.6</v>
      </c>
      <c r="X81" s="22">
        <v>437.21</v>
      </c>
      <c r="Y81" s="22">
        <v>426.84</v>
      </c>
      <c r="AB81" s="22">
        <v>79</v>
      </c>
      <c r="AC81" s="22">
        <v>931.52</v>
      </c>
      <c r="AD81" s="22">
        <v>968.92</v>
      </c>
      <c r="AE81" s="22">
        <v>893.61</v>
      </c>
      <c r="AF81" s="22">
        <v>898.11</v>
      </c>
      <c r="AG81" s="22">
        <v>876.4</v>
      </c>
      <c r="AH81" s="22">
        <v>856.61</v>
      </c>
    </row>
    <row r="82" spans="1:34">
      <c r="A82" s="22">
        <v>80</v>
      </c>
      <c r="B82" s="22">
        <v>219.27</v>
      </c>
      <c r="C82" s="22">
        <v>227.03</v>
      </c>
      <c r="D82" s="22">
        <v>207.64</v>
      </c>
      <c r="E82" s="22">
        <v>201.19</v>
      </c>
      <c r="F82" s="22">
        <v>205.68</v>
      </c>
      <c r="G82" s="22">
        <v>194.41</v>
      </c>
      <c r="J82" s="22">
        <v>80</v>
      </c>
      <c r="K82" s="22">
        <v>333.52</v>
      </c>
      <c r="L82" s="22">
        <v>359.21</v>
      </c>
      <c r="M82" s="22">
        <v>335.23</v>
      </c>
      <c r="N82" s="22">
        <v>323.58</v>
      </c>
      <c r="O82" s="22">
        <v>327.11</v>
      </c>
      <c r="P82" s="22">
        <v>322.82</v>
      </c>
      <c r="S82" s="22">
        <v>80</v>
      </c>
      <c r="T82" s="22">
        <v>471.71</v>
      </c>
      <c r="U82" s="22">
        <v>525.87</v>
      </c>
      <c r="V82" s="22">
        <v>448.44</v>
      </c>
      <c r="W82" s="22">
        <v>440.6</v>
      </c>
      <c r="X82" s="22">
        <v>437.21</v>
      </c>
      <c r="Y82" s="22">
        <v>426.84</v>
      </c>
      <c r="AB82" s="22">
        <v>80</v>
      </c>
      <c r="AC82" s="22">
        <v>931.52</v>
      </c>
      <c r="AD82" s="22">
        <v>968.92</v>
      </c>
      <c r="AE82" s="22">
        <v>893.61</v>
      </c>
      <c r="AF82" s="22">
        <v>898.11</v>
      </c>
      <c r="AG82" s="22">
        <v>876.4</v>
      </c>
      <c r="AH82" s="22">
        <v>856.61</v>
      </c>
    </row>
    <row r="83" spans="1:34">
      <c r="A83" s="22">
        <v>81</v>
      </c>
      <c r="B83" s="22">
        <v>219.27</v>
      </c>
      <c r="C83" s="22">
        <v>227.03</v>
      </c>
      <c r="D83" s="22">
        <v>207.64</v>
      </c>
      <c r="E83" s="22">
        <v>201.19</v>
      </c>
      <c r="F83" s="22">
        <v>205.68</v>
      </c>
      <c r="G83" s="22">
        <v>194.41</v>
      </c>
      <c r="J83" s="22">
        <v>81</v>
      </c>
      <c r="K83" s="22">
        <v>333.52</v>
      </c>
      <c r="L83" s="22">
        <v>359.21</v>
      </c>
      <c r="M83" s="22">
        <v>335.23</v>
      </c>
      <c r="N83" s="22">
        <v>323.58</v>
      </c>
      <c r="O83" s="22">
        <v>327.11</v>
      </c>
      <c r="P83" s="22">
        <v>322.82</v>
      </c>
      <c r="S83" s="22">
        <v>81</v>
      </c>
      <c r="T83" s="22">
        <v>471.71</v>
      </c>
      <c r="U83" s="22">
        <v>525.87</v>
      </c>
      <c r="V83" s="22">
        <v>448.44</v>
      </c>
      <c r="W83" s="22">
        <v>440.6</v>
      </c>
      <c r="X83" s="22">
        <v>437.21</v>
      </c>
      <c r="Y83" s="22">
        <v>426.84</v>
      </c>
      <c r="AB83" s="22">
        <v>81</v>
      </c>
      <c r="AC83" s="22">
        <v>931.52</v>
      </c>
      <c r="AD83" s="22">
        <v>968.92</v>
      </c>
      <c r="AE83" s="22">
        <v>893.61</v>
      </c>
      <c r="AF83" s="22">
        <v>898.11</v>
      </c>
      <c r="AG83" s="22">
        <v>876.4</v>
      </c>
      <c r="AH83" s="22">
        <v>856.61</v>
      </c>
    </row>
    <row r="84" spans="1:34">
      <c r="A84" s="22">
        <v>82</v>
      </c>
      <c r="B84" s="22">
        <v>219.27</v>
      </c>
      <c r="C84" s="22">
        <v>227.03</v>
      </c>
      <c r="D84" s="22">
        <v>207.64</v>
      </c>
      <c r="E84" s="22">
        <v>201.19</v>
      </c>
      <c r="F84" s="22">
        <v>205.68</v>
      </c>
      <c r="G84" s="22">
        <v>194.41</v>
      </c>
      <c r="J84" s="22">
        <v>82</v>
      </c>
      <c r="K84" s="22">
        <v>333.52</v>
      </c>
      <c r="L84" s="22">
        <v>359.21</v>
      </c>
      <c r="M84" s="22">
        <v>335.23</v>
      </c>
      <c r="N84" s="22">
        <v>323.58</v>
      </c>
      <c r="O84" s="22">
        <v>327.11</v>
      </c>
      <c r="P84" s="22">
        <v>320.07</v>
      </c>
      <c r="S84" s="22">
        <v>82</v>
      </c>
      <c r="T84" s="22">
        <v>471.71</v>
      </c>
      <c r="U84" s="22">
        <v>525.87</v>
      </c>
      <c r="V84" s="22">
        <v>448.44</v>
      </c>
      <c r="W84" s="22">
        <v>440.6</v>
      </c>
      <c r="X84" s="22">
        <v>437.21</v>
      </c>
      <c r="Y84" s="22">
        <v>426.84</v>
      </c>
      <c r="AB84" s="22">
        <v>82</v>
      </c>
      <c r="AC84" s="22">
        <v>931.52</v>
      </c>
      <c r="AD84" s="22">
        <v>968.92</v>
      </c>
      <c r="AE84" s="22">
        <v>893.61</v>
      </c>
      <c r="AF84" s="22">
        <v>898.11</v>
      </c>
      <c r="AG84" s="22">
        <v>876.4</v>
      </c>
      <c r="AH84" s="22">
        <v>856.61</v>
      </c>
    </row>
    <row r="85" spans="1:34">
      <c r="A85" s="22">
        <v>83</v>
      </c>
      <c r="B85" s="22">
        <v>219.27</v>
      </c>
      <c r="C85" s="22">
        <v>227.03</v>
      </c>
      <c r="D85" s="22">
        <v>207.64</v>
      </c>
      <c r="E85" s="22">
        <v>201.19</v>
      </c>
      <c r="F85" s="22">
        <v>205.68</v>
      </c>
      <c r="G85" s="22">
        <v>194.41</v>
      </c>
      <c r="J85" s="22">
        <v>83</v>
      </c>
      <c r="K85" s="22">
        <v>333.52</v>
      </c>
      <c r="L85" s="22">
        <v>359.21</v>
      </c>
      <c r="M85" s="22">
        <v>335.23</v>
      </c>
      <c r="N85" s="22">
        <v>323.58</v>
      </c>
      <c r="O85" s="22">
        <v>327.11</v>
      </c>
      <c r="P85" s="22">
        <v>320.07</v>
      </c>
      <c r="S85" s="22">
        <v>83</v>
      </c>
      <c r="T85" s="22">
        <v>471.71</v>
      </c>
      <c r="U85" s="22">
        <v>525.87</v>
      </c>
      <c r="V85" s="22">
        <v>448.44</v>
      </c>
      <c r="W85" s="22">
        <v>440.6</v>
      </c>
      <c r="X85" s="22">
        <v>437.21</v>
      </c>
      <c r="Y85" s="22">
        <v>426.84</v>
      </c>
      <c r="AB85" s="22">
        <v>83</v>
      </c>
      <c r="AC85" s="22">
        <v>931.52</v>
      </c>
      <c r="AD85" s="22">
        <v>968.92</v>
      </c>
      <c r="AE85" s="22">
        <v>893.61</v>
      </c>
      <c r="AF85" s="22">
        <v>898.11</v>
      </c>
      <c r="AG85" s="22">
        <v>876.4</v>
      </c>
      <c r="AH85" s="22">
        <v>856.61</v>
      </c>
    </row>
    <row r="86" spans="1:34">
      <c r="A86" s="22">
        <v>84</v>
      </c>
      <c r="B86" s="22">
        <v>219.27</v>
      </c>
      <c r="C86" s="22">
        <v>227.03</v>
      </c>
      <c r="D86" s="22">
        <v>207.64</v>
      </c>
      <c r="E86" s="22">
        <v>201.19</v>
      </c>
      <c r="F86" s="22">
        <v>205.68</v>
      </c>
      <c r="G86" s="22">
        <v>194.41</v>
      </c>
      <c r="J86" s="22">
        <v>84</v>
      </c>
      <c r="K86" s="22">
        <v>333.52</v>
      </c>
      <c r="L86" s="22">
        <v>359.21</v>
      </c>
      <c r="M86" s="22">
        <v>335.23</v>
      </c>
      <c r="N86" s="22">
        <v>323.58</v>
      </c>
      <c r="O86" s="22">
        <v>327.11</v>
      </c>
      <c r="P86" s="22">
        <v>320.07</v>
      </c>
      <c r="S86" s="22">
        <v>84</v>
      </c>
      <c r="T86" s="22">
        <v>471.71</v>
      </c>
      <c r="U86" s="22">
        <v>525.87</v>
      </c>
      <c r="V86" s="22">
        <v>448.44</v>
      </c>
      <c r="W86" s="22">
        <v>440.6</v>
      </c>
      <c r="X86" s="22">
        <v>437.21</v>
      </c>
      <c r="Y86" s="22">
        <v>426.84</v>
      </c>
      <c r="AB86" s="22">
        <v>84</v>
      </c>
      <c r="AC86" s="22">
        <v>931.52</v>
      </c>
      <c r="AD86" s="22">
        <v>968.92</v>
      </c>
      <c r="AE86" s="22">
        <v>893.61</v>
      </c>
      <c r="AF86" s="22">
        <v>898.11</v>
      </c>
      <c r="AG86" s="22">
        <v>876.4</v>
      </c>
      <c r="AH86" s="22">
        <v>855.38</v>
      </c>
    </row>
    <row r="87" spans="1:34">
      <c r="A87" s="22">
        <v>85</v>
      </c>
      <c r="B87" s="22">
        <v>219.27</v>
      </c>
      <c r="C87" s="22">
        <v>227.03</v>
      </c>
      <c r="D87" s="22">
        <v>207.64</v>
      </c>
      <c r="E87" s="22">
        <v>201.19</v>
      </c>
      <c r="F87" s="22">
        <v>205.68</v>
      </c>
      <c r="G87" s="22">
        <v>194.41</v>
      </c>
      <c r="J87" s="22">
        <v>85</v>
      </c>
      <c r="K87" s="22">
        <v>333.52</v>
      </c>
      <c r="L87" s="22">
        <v>359.21</v>
      </c>
      <c r="M87" s="22">
        <v>335.23</v>
      </c>
      <c r="N87" s="22">
        <v>323.58</v>
      </c>
      <c r="O87" s="22">
        <v>327.11</v>
      </c>
      <c r="P87" s="22">
        <v>320.07</v>
      </c>
      <c r="S87" s="22">
        <v>85</v>
      </c>
      <c r="T87" s="22">
        <v>471.71</v>
      </c>
      <c r="U87" s="22">
        <v>525.87</v>
      </c>
      <c r="V87" s="22">
        <v>448.44</v>
      </c>
      <c r="W87" s="22">
        <v>440.6</v>
      </c>
      <c r="X87" s="22">
        <v>437.21</v>
      </c>
      <c r="Y87" s="22">
        <v>426.84</v>
      </c>
      <c r="AB87" s="22">
        <v>85</v>
      </c>
      <c r="AC87" s="22">
        <v>931.52</v>
      </c>
      <c r="AD87" s="22">
        <v>968.92</v>
      </c>
      <c r="AE87" s="22">
        <v>893.61</v>
      </c>
      <c r="AF87" s="22">
        <v>898.11</v>
      </c>
      <c r="AG87" s="22">
        <v>876.4</v>
      </c>
      <c r="AH87" s="22">
        <v>855.38</v>
      </c>
    </row>
    <row r="88" spans="1:34">
      <c r="A88" s="22">
        <v>86</v>
      </c>
      <c r="B88" s="22">
        <v>219.27</v>
      </c>
      <c r="C88" s="22">
        <v>227.03</v>
      </c>
      <c r="D88" s="22">
        <v>207.64</v>
      </c>
      <c r="E88" s="22">
        <v>201.19</v>
      </c>
      <c r="F88" s="22">
        <v>205.68</v>
      </c>
      <c r="G88" s="22">
        <v>194.41</v>
      </c>
      <c r="J88" s="22">
        <v>86</v>
      </c>
      <c r="K88" s="22">
        <v>333.52</v>
      </c>
      <c r="L88" s="22">
        <v>359.21</v>
      </c>
      <c r="M88" s="22">
        <v>335.23</v>
      </c>
      <c r="N88" s="22">
        <v>323.58</v>
      </c>
      <c r="O88" s="22">
        <v>327.11</v>
      </c>
      <c r="P88" s="22">
        <v>320.07</v>
      </c>
      <c r="S88" s="22">
        <v>86</v>
      </c>
      <c r="T88" s="22">
        <v>471.71</v>
      </c>
      <c r="U88" s="22">
        <v>525.87</v>
      </c>
      <c r="V88" s="22">
        <v>448.44</v>
      </c>
      <c r="W88" s="22">
        <v>440.6</v>
      </c>
      <c r="X88" s="22">
        <v>437.21</v>
      </c>
      <c r="Y88" s="22">
        <v>426.84</v>
      </c>
      <c r="AB88" s="22">
        <v>86</v>
      </c>
      <c r="AC88" s="22">
        <v>931.52</v>
      </c>
      <c r="AD88" s="22">
        <v>968.92</v>
      </c>
      <c r="AE88" s="22">
        <v>893.61</v>
      </c>
      <c r="AF88" s="22">
        <v>898.11</v>
      </c>
      <c r="AG88" s="22">
        <v>876.4</v>
      </c>
      <c r="AH88" s="22">
        <v>835.38</v>
      </c>
    </row>
    <row r="89" spans="1:34">
      <c r="A89" s="22">
        <v>87</v>
      </c>
      <c r="B89" s="22">
        <v>219.27</v>
      </c>
      <c r="C89" s="22">
        <v>227.03</v>
      </c>
      <c r="D89" s="22">
        <v>207.64</v>
      </c>
      <c r="E89" s="22">
        <v>201.19</v>
      </c>
      <c r="F89" s="22">
        <v>205.68</v>
      </c>
      <c r="G89" s="22">
        <v>194.41</v>
      </c>
      <c r="J89" s="22">
        <v>87</v>
      </c>
      <c r="K89" s="22">
        <v>333.52</v>
      </c>
      <c r="L89" s="22">
        <v>359.21</v>
      </c>
      <c r="M89" s="22">
        <v>335.23</v>
      </c>
      <c r="N89" s="22">
        <v>323.58</v>
      </c>
      <c r="O89" s="22">
        <v>327.11</v>
      </c>
      <c r="P89" s="22">
        <v>320.07</v>
      </c>
      <c r="S89" s="22">
        <v>87</v>
      </c>
      <c r="T89" s="22">
        <v>471.71</v>
      </c>
      <c r="U89" s="22">
        <v>525.87</v>
      </c>
      <c r="V89" s="22">
        <v>448.44</v>
      </c>
      <c r="W89" s="22">
        <v>440.6</v>
      </c>
      <c r="X89" s="22">
        <v>437.21</v>
      </c>
      <c r="Y89" s="22">
        <v>426.84</v>
      </c>
      <c r="AB89" s="22">
        <v>87</v>
      </c>
      <c r="AC89" s="22">
        <v>931.52</v>
      </c>
      <c r="AD89" s="22">
        <v>968.92</v>
      </c>
      <c r="AE89" s="22">
        <v>893.61</v>
      </c>
      <c r="AF89" s="22">
        <v>898.11</v>
      </c>
      <c r="AG89" s="22">
        <v>876.4</v>
      </c>
      <c r="AH89" s="22">
        <v>835.38</v>
      </c>
    </row>
    <row r="90" spans="1:34">
      <c r="A90" s="22">
        <v>88</v>
      </c>
      <c r="B90" s="22">
        <v>219.27</v>
      </c>
      <c r="C90" s="22">
        <v>227.03</v>
      </c>
      <c r="D90" s="22">
        <v>207.64</v>
      </c>
      <c r="E90" s="22">
        <v>201.19</v>
      </c>
      <c r="F90" s="22">
        <v>205.68</v>
      </c>
      <c r="G90" s="22">
        <v>194.41</v>
      </c>
      <c r="J90" s="22">
        <v>88</v>
      </c>
      <c r="K90" s="22">
        <v>333.52</v>
      </c>
      <c r="L90" s="22">
        <v>359.21</v>
      </c>
      <c r="M90" s="22">
        <v>335.23</v>
      </c>
      <c r="N90" s="22">
        <v>323.58</v>
      </c>
      <c r="O90" s="22">
        <v>327.11</v>
      </c>
      <c r="P90" s="22">
        <v>320.07</v>
      </c>
      <c r="S90" s="22">
        <v>88</v>
      </c>
      <c r="T90" s="22">
        <v>471.71</v>
      </c>
      <c r="U90" s="22">
        <v>525.87</v>
      </c>
      <c r="V90" s="22">
        <v>448.44</v>
      </c>
      <c r="W90" s="22">
        <v>440.6</v>
      </c>
      <c r="X90" s="22">
        <v>437.21</v>
      </c>
      <c r="Y90" s="22">
        <v>426.84</v>
      </c>
      <c r="AB90" s="22">
        <v>88</v>
      </c>
      <c r="AC90" s="22">
        <v>931.52</v>
      </c>
      <c r="AD90" s="22">
        <v>968.92</v>
      </c>
      <c r="AE90" s="22">
        <v>893.61</v>
      </c>
      <c r="AF90" s="22">
        <v>898.11</v>
      </c>
      <c r="AG90" s="22">
        <v>876.4</v>
      </c>
      <c r="AH90" s="22">
        <v>835.38</v>
      </c>
    </row>
    <row r="91" spans="1:34">
      <c r="A91" s="22">
        <v>89</v>
      </c>
      <c r="B91" s="22">
        <v>219.27</v>
      </c>
      <c r="C91" s="22">
        <v>227.03</v>
      </c>
      <c r="D91" s="22">
        <v>207.64</v>
      </c>
      <c r="E91" s="22">
        <v>201.19</v>
      </c>
      <c r="F91" s="22">
        <v>205.68</v>
      </c>
      <c r="G91" s="22">
        <v>194.41</v>
      </c>
      <c r="J91" s="22">
        <v>89</v>
      </c>
      <c r="K91" s="22">
        <v>333.52</v>
      </c>
      <c r="L91" s="22">
        <v>359.21</v>
      </c>
      <c r="M91" s="22">
        <v>335.23</v>
      </c>
      <c r="N91" s="22">
        <v>323.58</v>
      </c>
      <c r="O91" s="22">
        <v>327.11</v>
      </c>
      <c r="P91" s="22">
        <v>315.17</v>
      </c>
      <c r="S91" s="22">
        <v>89</v>
      </c>
      <c r="T91" s="22">
        <v>471.71</v>
      </c>
      <c r="U91" s="22">
        <v>525.87</v>
      </c>
      <c r="V91" s="22">
        <v>448.44</v>
      </c>
      <c r="W91" s="22">
        <v>440.6</v>
      </c>
      <c r="X91" s="22">
        <v>437.21</v>
      </c>
      <c r="Y91" s="22">
        <v>426.84</v>
      </c>
      <c r="AB91" s="22">
        <v>89</v>
      </c>
      <c r="AC91" s="22">
        <v>931.52</v>
      </c>
      <c r="AD91" s="22">
        <v>968.92</v>
      </c>
      <c r="AE91" s="22">
        <v>893.61</v>
      </c>
      <c r="AF91" s="22">
        <v>898.11</v>
      </c>
      <c r="AG91" s="22">
        <v>876.4</v>
      </c>
      <c r="AH91" s="22">
        <v>835.38</v>
      </c>
    </row>
    <row r="92" spans="1:34">
      <c r="A92" s="22">
        <v>90</v>
      </c>
      <c r="B92" s="22">
        <v>219.27</v>
      </c>
      <c r="C92" s="22">
        <v>227.03</v>
      </c>
      <c r="D92" s="22">
        <v>207.64</v>
      </c>
      <c r="E92" s="22">
        <v>201.19</v>
      </c>
      <c r="F92" s="22">
        <v>205.68</v>
      </c>
      <c r="G92" s="22">
        <v>194.41</v>
      </c>
      <c r="J92" s="22">
        <v>90</v>
      </c>
      <c r="K92" s="22">
        <v>333.52</v>
      </c>
      <c r="L92" s="22">
        <v>359.21</v>
      </c>
      <c r="M92" s="22">
        <v>335.23</v>
      </c>
      <c r="N92" s="22">
        <v>323.58</v>
      </c>
      <c r="O92" s="22">
        <v>327.11</v>
      </c>
      <c r="P92" s="22">
        <v>315.17</v>
      </c>
      <c r="S92" s="22">
        <v>90</v>
      </c>
      <c r="T92" s="22">
        <v>471.71</v>
      </c>
      <c r="U92" s="22">
        <v>525.87</v>
      </c>
      <c r="V92" s="22">
        <v>448.44</v>
      </c>
      <c r="W92" s="22">
        <v>440.6</v>
      </c>
      <c r="X92" s="22">
        <v>437.21</v>
      </c>
      <c r="Y92" s="22">
        <v>426.84</v>
      </c>
      <c r="AB92" s="22">
        <v>90</v>
      </c>
      <c r="AC92" s="22">
        <v>931.52</v>
      </c>
      <c r="AD92" s="22">
        <v>968.92</v>
      </c>
      <c r="AE92" s="22">
        <v>893.61</v>
      </c>
      <c r="AF92" s="22">
        <v>898.11</v>
      </c>
      <c r="AG92" s="22">
        <v>876.4</v>
      </c>
      <c r="AH92" s="22">
        <v>835.38</v>
      </c>
    </row>
    <row r="93" spans="1:34">
      <c r="A93" s="22">
        <v>91</v>
      </c>
      <c r="B93" s="22">
        <v>219.27</v>
      </c>
      <c r="C93" s="22">
        <v>227.03</v>
      </c>
      <c r="D93" s="22">
        <v>207.64</v>
      </c>
      <c r="E93" s="22">
        <v>201.19</v>
      </c>
      <c r="F93" s="22">
        <v>205.68</v>
      </c>
      <c r="G93" s="22">
        <v>194.41</v>
      </c>
      <c r="J93" s="22">
        <v>91</v>
      </c>
      <c r="K93" s="22">
        <v>333.52</v>
      </c>
      <c r="L93" s="22">
        <v>359.21</v>
      </c>
      <c r="M93" s="22">
        <v>335.23</v>
      </c>
      <c r="N93" s="22">
        <v>323.58</v>
      </c>
      <c r="O93" s="22">
        <v>327.11</v>
      </c>
      <c r="P93" s="22">
        <v>310.17</v>
      </c>
      <c r="S93" s="22">
        <v>91</v>
      </c>
      <c r="T93" s="22">
        <v>471.71</v>
      </c>
      <c r="U93" s="22">
        <v>525.87</v>
      </c>
      <c r="V93" s="22">
        <v>448.44</v>
      </c>
      <c r="W93" s="22">
        <v>440.6</v>
      </c>
      <c r="X93" s="22">
        <v>437.21</v>
      </c>
      <c r="Y93" s="22">
        <v>426.84</v>
      </c>
      <c r="AB93" s="22">
        <v>91</v>
      </c>
      <c r="AC93" s="22">
        <v>931.52</v>
      </c>
      <c r="AD93" s="22">
        <v>968.92</v>
      </c>
      <c r="AE93" s="22">
        <v>893.61</v>
      </c>
      <c r="AF93" s="22">
        <v>898.11</v>
      </c>
      <c r="AG93" s="22">
        <v>876.4</v>
      </c>
      <c r="AH93" s="22">
        <v>835.38</v>
      </c>
    </row>
    <row r="94" spans="1:34">
      <c r="A94" s="22">
        <v>92</v>
      </c>
      <c r="B94" s="22">
        <v>219.27</v>
      </c>
      <c r="C94" s="22">
        <v>227.03</v>
      </c>
      <c r="D94" s="22">
        <v>207.64</v>
      </c>
      <c r="E94" s="22">
        <v>201.19</v>
      </c>
      <c r="F94" s="22">
        <v>205.68</v>
      </c>
      <c r="G94" s="22">
        <v>194.41</v>
      </c>
      <c r="J94" s="22">
        <v>92</v>
      </c>
      <c r="K94" s="22">
        <v>333.52</v>
      </c>
      <c r="L94" s="22">
        <v>359.21</v>
      </c>
      <c r="M94" s="22">
        <v>335.23</v>
      </c>
      <c r="N94" s="22">
        <v>323.58</v>
      </c>
      <c r="O94" s="22">
        <v>327.11</v>
      </c>
      <c r="P94" s="22">
        <v>310.17</v>
      </c>
      <c r="S94" s="22">
        <v>92</v>
      </c>
      <c r="T94" s="22">
        <v>471.43</v>
      </c>
      <c r="U94" s="22">
        <v>525.87</v>
      </c>
      <c r="V94" s="22">
        <v>448.44</v>
      </c>
      <c r="W94" s="22">
        <v>440.6</v>
      </c>
      <c r="X94" s="22">
        <v>437.21</v>
      </c>
      <c r="Y94" s="22">
        <v>426.84</v>
      </c>
      <c r="AB94" s="22">
        <v>92</v>
      </c>
      <c r="AC94" s="22">
        <v>931.52</v>
      </c>
      <c r="AD94" s="22">
        <v>968.92</v>
      </c>
      <c r="AE94" s="22">
        <v>893.61</v>
      </c>
      <c r="AF94" s="22">
        <v>898.11</v>
      </c>
      <c r="AG94" s="22">
        <v>876.4</v>
      </c>
      <c r="AH94" s="22">
        <v>835.38</v>
      </c>
    </row>
    <row r="95" spans="1:34">
      <c r="A95" s="22">
        <v>93</v>
      </c>
      <c r="B95" s="22">
        <v>219.27</v>
      </c>
      <c r="C95" s="22">
        <v>227.03</v>
      </c>
      <c r="D95" s="22">
        <v>207.64</v>
      </c>
      <c r="E95" s="22">
        <v>201.19</v>
      </c>
      <c r="F95" s="22">
        <v>205.68</v>
      </c>
      <c r="G95" s="22">
        <v>194.41</v>
      </c>
      <c r="J95" s="22">
        <v>93</v>
      </c>
      <c r="K95" s="22">
        <v>333.52</v>
      </c>
      <c r="L95" s="22">
        <v>359.21</v>
      </c>
      <c r="M95" s="22">
        <v>335.23</v>
      </c>
      <c r="N95" s="22">
        <v>323.58</v>
      </c>
      <c r="O95" s="22">
        <v>327.11</v>
      </c>
      <c r="P95" s="22">
        <v>310.17</v>
      </c>
      <c r="S95" s="22">
        <v>93</v>
      </c>
      <c r="T95" s="22">
        <v>471.43</v>
      </c>
      <c r="U95" s="22">
        <v>525.87</v>
      </c>
      <c r="V95" s="22">
        <v>448.44</v>
      </c>
      <c r="W95" s="22">
        <v>440.6</v>
      </c>
      <c r="X95" s="22">
        <v>437.21</v>
      </c>
      <c r="Y95" s="22">
        <v>426.84</v>
      </c>
      <c r="AB95" s="22">
        <v>93</v>
      </c>
      <c r="AC95" s="22">
        <v>931.52</v>
      </c>
      <c r="AD95" s="22">
        <v>968.92</v>
      </c>
      <c r="AE95" s="22">
        <v>893.61</v>
      </c>
      <c r="AF95" s="22">
        <v>898.11</v>
      </c>
      <c r="AG95" s="22">
        <v>876.4</v>
      </c>
      <c r="AH95" s="22">
        <v>835.38</v>
      </c>
    </row>
    <row r="96" spans="1:34">
      <c r="A96" s="22">
        <v>94</v>
      </c>
      <c r="B96" s="22">
        <v>219.27</v>
      </c>
      <c r="C96" s="22">
        <v>227.03</v>
      </c>
      <c r="D96" s="22">
        <v>207.64</v>
      </c>
      <c r="E96" s="22">
        <v>201.19</v>
      </c>
      <c r="F96" s="22">
        <v>205.68</v>
      </c>
      <c r="G96" s="22">
        <v>194.41</v>
      </c>
      <c r="J96" s="22">
        <v>94</v>
      </c>
      <c r="K96" s="22">
        <v>333.52</v>
      </c>
      <c r="L96" s="22">
        <v>359.21</v>
      </c>
      <c r="M96" s="22">
        <v>335.23</v>
      </c>
      <c r="N96" s="22">
        <v>323.58</v>
      </c>
      <c r="O96" s="22">
        <v>327.11</v>
      </c>
      <c r="P96" s="22">
        <v>310.17</v>
      </c>
      <c r="S96" s="22">
        <v>94</v>
      </c>
      <c r="T96" s="22">
        <v>471.43</v>
      </c>
      <c r="U96" s="22">
        <v>525.87</v>
      </c>
      <c r="V96" s="22">
        <v>448.44</v>
      </c>
      <c r="W96" s="22">
        <v>440.6</v>
      </c>
      <c r="X96" s="22">
        <v>437.21</v>
      </c>
      <c r="Y96" s="22">
        <v>426.84</v>
      </c>
      <c r="AB96" s="22">
        <v>94</v>
      </c>
      <c r="AC96" s="22">
        <v>931.52</v>
      </c>
      <c r="AD96" s="22">
        <v>968.92</v>
      </c>
      <c r="AE96" s="22">
        <v>893.61</v>
      </c>
      <c r="AF96" s="22">
        <v>898.11</v>
      </c>
      <c r="AG96" s="22">
        <v>876.4</v>
      </c>
      <c r="AH96" s="22">
        <v>835.38</v>
      </c>
    </row>
    <row r="97" spans="1:34">
      <c r="A97" s="22">
        <v>95</v>
      </c>
      <c r="B97" s="22">
        <v>219.27</v>
      </c>
      <c r="C97" s="22">
        <v>227.03</v>
      </c>
      <c r="D97" s="22">
        <v>207.64</v>
      </c>
      <c r="E97" s="22">
        <v>201.19</v>
      </c>
      <c r="F97" s="22">
        <v>205.68</v>
      </c>
      <c r="G97" s="22">
        <v>194.41</v>
      </c>
      <c r="J97" s="22">
        <v>95</v>
      </c>
      <c r="K97" s="22">
        <v>333.52</v>
      </c>
      <c r="L97" s="22">
        <v>359.21</v>
      </c>
      <c r="M97" s="22">
        <v>335.23</v>
      </c>
      <c r="N97" s="22">
        <v>323.58</v>
      </c>
      <c r="O97" s="22">
        <v>327.11</v>
      </c>
      <c r="P97" s="22">
        <v>310.17</v>
      </c>
      <c r="S97" s="22">
        <v>95</v>
      </c>
      <c r="T97" s="22">
        <v>471.43</v>
      </c>
      <c r="U97" s="22">
        <v>525.87</v>
      </c>
      <c r="V97" s="22">
        <v>448.44</v>
      </c>
      <c r="W97" s="22">
        <v>440.6</v>
      </c>
      <c r="X97" s="22">
        <v>437.21</v>
      </c>
      <c r="Y97" s="22">
        <v>426.84</v>
      </c>
      <c r="AB97" s="22">
        <v>95</v>
      </c>
      <c r="AC97" s="22">
        <v>931.52</v>
      </c>
      <c r="AD97" s="22">
        <v>968.92</v>
      </c>
      <c r="AE97" s="22">
        <v>893.61</v>
      </c>
      <c r="AF97" s="22">
        <v>898.11</v>
      </c>
      <c r="AG97" s="22">
        <v>876.4</v>
      </c>
      <c r="AH97" s="22">
        <v>835.38</v>
      </c>
    </row>
    <row r="98" spans="1:34">
      <c r="A98" s="22">
        <v>96</v>
      </c>
      <c r="B98" s="22">
        <v>219.27</v>
      </c>
      <c r="C98" s="22">
        <v>227.03</v>
      </c>
      <c r="D98" s="22">
        <v>207.64</v>
      </c>
      <c r="E98" s="22">
        <v>201.19</v>
      </c>
      <c r="F98" s="22">
        <v>205.68</v>
      </c>
      <c r="G98" s="22">
        <v>194.41</v>
      </c>
      <c r="J98" s="22">
        <v>96</v>
      </c>
      <c r="K98" s="22">
        <v>333.52</v>
      </c>
      <c r="L98" s="22">
        <v>359.21</v>
      </c>
      <c r="M98" s="22">
        <v>335.23</v>
      </c>
      <c r="N98" s="22">
        <v>323.58</v>
      </c>
      <c r="O98" s="22">
        <v>327.11</v>
      </c>
      <c r="P98" s="22">
        <v>310.17</v>
      </c>
      <c r="S98" s="22">
        <v>96</v>
      </c>
      <c r="T98" s="22">
        <v>471.43</v>
      </c>
      <c r="U98" s="22">
        <v>525.87</v>
      </c>
      <c r="V98" s="22">
        <v>448.44</v>
      </c>
      <c r="W98" s="22">
        <v>440.6</v>
      </c>
      <c r="X98" s="22">
        <v>437.21</v>
      </c>
      <c r="Y98" s="22">
        <v>426.84</v>
      </c>
      <c r="AB98" s="22">
        <v>96</v>
      </c>
      <c r="AC98" s="22">
        <v>931.52</v>
      </c>
      <c r="AD98" s="22">
        <v>968.92</v>
      </c>
      <c r="AE98" s="22">
        <v>893.61</v>
      </c>
      <c r="AF98" s="22">
        <v>898.11</v>
      </c>
      <c r="AG98" s="22">
        <v>876.4</v>
      </c>
      <c r="AH98" s="22">
        <v>835.38</v>
      </c>
    </row>
    <row r="99" spans="1:34">
      <c r="A99" s="22">
        <v>97</v>
      </c>
      <c r="B99" s="22">
        <v>219.27</v>
      </c>
      <c r="C99" s="22">
        <v>227.03</v>
      </c>
      <c r="D99" s="22">
        <v>207.64</v>
      </c>
      <c r="E99" s="22">
        <v>201.19</v>
      </c>
      <c r="F99" s="22">
        <v>205.68</v>
      </c>
      <c r="G99" s="22">
        <v>194.41</v>
      </c>
      <c r="J99" s="22">
        <v>97</v>
      </c>
      <c r="K99" s="22">
        <v>333.52</v>
      </c>
      <c r="L99" s="22">
        <v>359.21</v>
      </c>
      <c r="M99" s="22">
        <v>335.23</v>
      </c>
      <c r="N99" s="22">
        <v>323.58</v>
      </c>
      <c r="O99" s="22">
        <v>327.11</v>
      </c>
      <c r="P99" s="22">
        <v>310.17</v>
      </c>
      <c r="S99" s="22">
        <v>97</v>
      </c>
      <c r="T99" s="22">
        <v>471.43</v>
      </c>
      <c r="U99" s="22">
        <v>525.87</v>
      </c>
      <c r="V99" s="22">
        <v>448.44</v>
      </c>
      <c r="W99" s="22">
        <v>440.6</v>
      </c>
      <c r="X99" s="22">
        <v>437.21</v>
      </c>
      <c r="Y99" s="22">
        <v>426.84</v>
      </c>
      <c r="AB99" s="22">
        <v>97</v>
      </c>
      <c r="AC99" s="22">
        <v>931.52</v>
      </c>
      <c r="AD99" s="22">
        <v>968.92</v>
      </c>
      <c r="AE99" s="22">
        <v>893.61</v>
      </c>
      <c r="AF99" s="22">
        <v>898.11</v>
      </c>
      <c r="AG99" s="22">
        <v>876.4</v>
      </c>
      <c r="AH99" s="22">
        <v>835.38</v>
      </c>
    </row>
    <row r="100" spans="1:34">
      <c r="A100" s="22">
        <v>98</v>
      </c>
      <c r="B100" s="22">
        <v>219.27</v>
      </c>
      <c r="C100" s="22">
        <v>227.03</v>
      </c>
      <c r="D100" s="22">
        <v>207.64</v>
      </c>
      <c r="E100" s="22">
        <v>201.19</v>
      </c>
      <c r="F100" s="22">
        <v>205.68</v>
      </c>
      <c r="G100" s="22">
        <v>194.41</v>
      </c>
      <c r="J100" s="22">
        <v>98</v>
      </c>
      <c r="K100" s="22">
        <v>333.52</v>
      </c>
      <c r="L100" s="22">
        <v>359.21</v>
      </c>
      <c r="M100" s="22">
        <v>335.23</v>
      </c>
      <c r="N100" s="22">
        <v>323.58</v>
      </c>
      <c r="O100" s="22">
        <v>327.11</v>
      </c>
      <c r="P100" s="22">
        <v>310.17</v>
      </c>
      <c r="S100" s="22">
        <v>98</v>
      </c>
      <c r="T100" s="22">
        <v>471.43</v>
      </c>
      <c r="U100" s="22">
        <v>525.87</v>
      </c>
      <c r="V100" s="22">
        <v>448.44</v>
      </c>
      <c r="W100" s="22">
        <v>440.6</v>
      </c>
      <c r="X100" s="22">
        <v>437.21</v>
      </c>
      <c r="Y100" s="22">
        <v>426.84</v>
      </c>
      <c r="AB100" s="22">
        <v>98</v>
      </c>
      <c r="AC100" s="22">
        <v>931.52</v>
      </c>
      <c r="AD100" s="22">
        <v>968.92</v>
      </c>
      <c r="AE100" s="22">
        <v>893.61</v>
      </c>
      <c r="AF100" s="22">
        <v>898.11</v>
      </c>
      <c r="AG100" s="22">
        <v>876.4</v>
      </c>
      <c r="AH100" s="22">
        <v>835.38</v>
      </c>
    </row>
    <row r="101" spans="1:34">
      <c r="A101" s="22">
        <v>99</v>
      </c>
      <c r="B101" s="22">
        <v>219.27</v>
      </c>
      <c r="C101" s="22">
        <v>227.03</v>
      </c>
      <c r="D101" s="22">
        <v>207.64</v>
      </c>
      <c r="E101" s="22">
        <v>201.19</v>
      </c>
      <c r="F101" s="22">
        <v>205.68</v>
      </c>
      <c r="G101" s="22">
        <v>194.41</v>
      </c>
      <c r="J101" s="22">
        <v>99</v>
      </c>
      <c r="K101" s="22">
        <v>333.52</v>
      </c>
      <c r="L101" s="22">
        <v>359.21</v>
      </c>
      <c r="M101" s="22">
        <v>335.23</v>
      </c>
      <c r="N101" s="22">
        <v>323.58</v>
      </c>
      <c r="O101" s="22">
        <v>327.11</v>
      </c>
      <c r="P101" s="22">
        <v>310.17</v>
      </c>
      <c r="S101" s="22">
        <v>99</v>
      </c>
      <c r="T101" s="22">
        <v>471.43</v>
      </c>
      <c r="U101" s="22">
        <v>525.87</v>
      </c>
      <c r="V101" s="22">
        <v>448.44</v>
      </c>
      <c r="W101" s="22">
        <v>440.6</v>
      </c>
      <c r="X101" s="22">
        <v>437.21</v>
      </c>
      <c r="Y101" s="22">
        <v>426.84</v>
      </c>
      <c r="AB101" s="22">
        <v>99</v>
      </c>
      <c r="AC101" s="22">
        <v>931.52</v>
      </c>
      <c r="AD101" s="22">
        <v>968.92</v>
      </c>
      <c r="AE101" s="22">
        <v>893.61</v>
      </c>
      <c r="AF101" s="22">
        <v>898.11</v>
      </c>
      <c r="AG101" s="22">
        <v>876.4</v>
      </c>
      <c r="AH101" s="22">
        <v>835.38</v>
      </c>
    </row>
    <row r="102" spans="1:34">
      <c r="A102" s="22">
        <v>100</v>
      </c>
      <c r="B102" s="22">
        <v>219.27</v>
      </c>
      <c r="C102" s="22">
        <v>227.03</v>
      </c>
      <c r="D102" s="22">
        <v>207.64</v>
      </c>
      <c r="E102" s="22">
        <v>201.19</v>
      </c>
      <c r="F102" s="22">
        <v>205.68</v>
      </c>
      <c r="G102" s="22">
        <v>194.41</v>
      </c>
      <c r="J102" s="22">
        <v>100</v>
      </c>
      <c r="K102" s="22">
        <v>333.52</v>
      </c>
      <c r="L102" s="22">
        <v>359.21</v>
      </c>
      <c r="M102" s="22">
        <v>335.23</v>
      </c>
      <c r="N102" s="22">
        <v>323.58</v>
      </c>
      <c r="O102" s="22">
        <v>327.11</v>
      </c>
      <c r="P102" s="22">
        <v>310.17</v>
      </c>
      <c r="S102" s="22">
        <v>100</v>
      </c>
      <c r="T102" s="22">
        <v>471.43</v>
      </c>
      <c r="U102" s="22">
        <v>525.87</v>
      </c>
      <c r="V102" s="22">
        <v>448.44</v>
      </c>
      <c r="W102" s="22">
        <v>440.6</v>
      </c>
      <c r="X102" s="22">
        <v>437.21</v>
      </c>
      <c r="Y102" s="22">
        <v>426.84</v>
      </c>
      <c r="AB102" s="22">
        <v>100</v>
      </c>
      <c r="AC102" s="22">
        <v>931.52</v>
      </c>
      <c r="AD102" s="22">
        <v>968.92</v>
      </c>
      <c r="AE102" s="22">
        <v>893.61</v>
      </c>
      <c r="AF102" s="22">
        <v>898.11</v>
      </c>
      <c r="AG102" s="22">
        <v>876.4</v>
      </c>
      <c r="AH102" s="22">
        <v>835.38</v>
      </c>
    </row>
  </sheetData>
  <mergeCells count="4">
    <mergeCell ref="A1:G1"/>
    <mergeCell ref="J1:P1"/>
    <mergeCell ref="S1:Y1"/>
    <mergeCell ref="AB1:AH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8"/>
  <sheetViews>
    <sheetView workbookViewId="0">
      <selection activeCell="H36" sqref="H36"/>
    </sheetView>
  </sheetViews>
  <sheetFormatPr defaultColWidth="9" defaultRowHeight="15.75"/>
  <cols>
    <col min="1" max="4" width="12.875" style="38" customWidth="1"/>
    <col min="5" max="5" width="11.5" style="22" customWidth="1"/>
    <col min="6" max="8" width="17" style="22" customWidth="1"/>
    <col min="9" max="16384" width="9" style="22"/>
  </cols>
  <sheetData>
    <row r="1" spans="2:9">
      <c r="B1" s="38">
        <v>1</v>
      </c>
      <c r="C1" s="38">
        <v>2</v>
      </c>
      <c r="D1" s="38">
        <v>3</v>
      </c>
      <c r="E1" s="38">
        <v>4</v>
      </c>
      <c r="F1" s="38">
        <v>5</v>
      </c>
      <c r="G1" s="38">
        <v>6</v>
      </c>
      <c r="H1" s="38">
        <v>7</v>
      </c>
      <c r="I1" s="38">
        <v>8</v>
      </c>
    </row>
    <row r="2" spans="2:9">
      <c r="B2" s="38" t="s">
        <v>65</v>
      </c>
      <c r="C2" s="38" t="s">
        <v>69</v>
      </c>
      <c r="D2" s="38" t="s">
        <v>70</v>
      </c>
      <c r="E2" s="22" t="s">
        <v>71</v>
      </c>
      <c r="F2" s="22" t="s">
        <v>72</v>
      </c>
      <c r="G2" s="22" t="s">
        <v>73</v>
      </c>
      <c r="H2" s="22" t="s">
        <v>74</v>
      </c>
      <c r="I2" s="22" t="s">
        <v>68</v>
      </c>
    </row>
    <row r="3" spans="2:9">
      <c r="B3" s="125">
        <v>448.44</v>
      </c>
      <c r="C3" s="38">
        <v>489.4</v>
      </c>
      <c r="D3" s="38">
        <v>459.21</v>
      </c>
      <c r="E3" s="74">
        <v>438.76</v>
      </c>
      <c r="F3" s="74">
        <v>439.91</v>
      </c>
      <c r="G3" s="22">
        <v>433.61</v>
      </c>
      <c r="H3" s="22">
        <v>437.6</v>
      </c>
      <c r="I3" s="126">
        <v>434.09</v>
      </c>
    </row>
    <row r="4" spans="2:9">
      <c r="B4" s="126">
        <v>455.88</v>
      </c>
      <c r="C4" s="38">
        <v>479.22</v>
      </c>
      <c r="D4" s="38">
        <v>466.01</v>
      </c>
      <c r="E4" s="74">
        <v>488.06</v>
      </c>
      <c r="F4" s="74">
        <v>457.57</v>
      </c>
      <c r="G4" s="22">
        <v>461.8</v>
      </c>
      <c r="H4" s="22">
        <v>490.35</v>
      </c>
      <c r="I4" s="126">
        <v>452.1</v>
      </c>
    </row>
    <row r="5" spans="2:9">
      <c r="B5" s="126">
        <v>487.16</v>
      </c>
      <c r="C5" s="38">
        <v>435.5</v>
      </c>
      <c r="D5" s="38">
        <v>478.9</v>
      </c>
      <c r="E5" s="74">
        <v>439.31</v>
      </c>
      <c r="F5" s="74">
        <v>436</v>
      </c>
      <c r="G5" s="22">
        <v>446.3</v>
      </c>
      <c r="H5" s="22">
        <v>450.94</v>
      </c>
      <c r="I5" s="126">
        <v>450.17</v>
      </c>
    </row>
    <row r="6" spans="2:9">
      <c r="B6" s="126">
        <v>481.2</v>
      </c>
      <c r="C6" s="38">
        <v>476.3</v>
      </c>
      <c r="D6" s="38">
        <v>460.96</v>
      </c>
      <c r="E6" s="74">
        <v>464.23</v>
      </c>
      <c r="F6" s="75">
        <v>429.24</v>
      </c>
      <c r="G6" s="22">
        <v>444.4</v>
      </c>
      <c r="H6" s="22">
        <v>469.15</v>
      </c>
      <c r="I6" s="126">
        <v>427.78</v>
      </c>
    </row>
    <row r="7" spans="2:9">
      <c r="B7" s="126">
        <v>482.29</v>
      </c>
      <c r="C7" s="38">
        <v>461.63</v>
      </c>
      <c r="D7" s="38">
        <v>440.38</v>
      </c>
      <c r="E7" s="74">
        <v>441.45</v>
      </c>
      <c r="F7" s="74">
        <v>448</v>
      </c>
      <c r="G7" s="22">
        <v>444.5</v>
      </c>
      <c r="H7" s="22">
        <v>490.35</v>
      </c>
      <c r="I7" s="126">
        <v>426.84</v>
      </c>
    </row>
    <row r="8" spans="2:9">
      <c r="B8" s="126">
        <v>455.89</v>
      </c>
      <c r="C8" s="38">
        <v>461.58</v>
      </c>
      <c r="D8" s="38">
        <v>499.54</v>
      </c>
      <c r="E8" s="74">
        <v>466.81</v>
      </c>
      <c r="F8" s="74">
        <v>435.89</v>
      </c>
      <c r="G8" s="22">
        <v>439.51</v>
      </c>
      <c r="H8" s="22">
        <v>445.12</v>
      </c>
      <c r="I8" s="126">
        <v>430.99</v>
      </c>
    </row>
    <row r="9" spans="2:9">
      <c r="B9" s="126">
        <v>468.11</v>
      </c>
      <c r="C9" s="38">
        <v>441.59</v>
      </c>
      <c r="D9" s="38">
        <v>456.09</v>
      </c>
      <c r="E9" s="74">
        <v>438.76</v>
      </c>
      <c r="F9" s="74">
        <v>446.26</v>
      </c>
      <c r="G9" s="22">
        <v>484.46</v>
      </c>
      <c r="H9" s="22">
        <v>490.35</v>
      </c>
      <c r="I9" s="126">
        <v>446.69</v>
      </c>
    </row>
    <row r="10" spans="2:9">
      <c r="B10" s="126">
        <v>483.59</v>
      </c>
      <c r="C10" s="38">
        <v>485.07</v>
      </c>
      <c r="D10" s="38">
        <v>454.5</v>
      </c>
      <c r="E10" s="22">
        <v>479.44</v>
      </c>
      <c r="F10" s="22">
        <v>443.68</v>
      </c>
      <c r="G10" s="22">
        <v>483.29</v>
      </c>
      <c r="H10" s="22">
        <v>445.55</v>
      </c>
      <c r="I10" s="126">
        <v>473.52</v>
      </c>
    </row>
    <row r="11" spans="2:9">
      <c r="B11" s="126">
        <v>486.96</v>
      </c>
      <c r="C11" s="38">
        <v>454.54</v>
      </c>
      <c r="D11" s="38">
        <v>488.06</v>
      </c>
      <c r="E11" s="22">
        <v>484.4</v>
      </c>
      <c r="F11" s="22">
        <v>450.62</v>
      </c>
      <c r="G11" s="22">
        <v>476.7</v>
      </c>
      <c r="H11" s="22">
        <v>454.27</v>
      </c>
      <c r="I11" s="126">
        <v>452.04</v>
      </c>
    </row>
    <row r="12" spans="2:9">
      <c r="B12" s="126">
        <v>472.28</v>
      </c>
      <c r="C12" s="38">
        <v>449.64</v>
      </c>
      <c r="D12" s="38">
        <v>466.46</v>
      </c>
      <c r="E12" s="22">
        <v>488.59</v>
      </c>
      <c r="F12" s="22">
        <v>445.47</v>
      </c>
      <c r="G12" s="22">
        <v>471.67</v>
      </c>
      <c r="H12" s="22">
        <v>488.99</v>
      </c>
      <c r="I12" s="126">
        <v>451.41</v>
      </c>
    </row>
    <row r="13" spans="2:9">
      <c r="B13" s="126">
        <v>448.44</v>
      </c>
      <c r="C13" s="38">
        <v>432.22</v>
      </c>
      <c r="D13" s="38">
        <v>471.2</v>
      </c>
      <c r="E13" s="22">
        <v>438.76</v>
      </c>
      <c r="F13" s="22">
        <v>443.47</v>
      </c>
      <c r="G13" s="22">
        <v>440.73</v>
      </c>
      <c r="H13" s="22">
        <v>457.15</v>
      </c>
      <c r="I13" s="126">
        <v>436.68</v>
      </c>
    </row>
    <row r="14" spans="2:9">
      <c r="B14" s="126">
        <v>471.47</v>
      </c>
      <c r="C14" s="38">
        <v>494.54</v>
      </c>
      <c r="D14" s="38">
        <v>472.71</v>
      </c>
      <c r="E14" s="22">
        <v>492.87</v>
      </c>
      <c r="F14" s="22">
        <v>468.89</v>
      </c>
      <c r="G14" s="22">
        <v>451.07</v>
      </c>
      <c r="H14" s="22">
        <v>450.3</v>
      </c>
      <c r="I14" s="126">
        <v>432.84</v>
      </c>
    </row>
    <row r="15" spans="2:9">
      <c r="B15" s="126">
        <v>448.44</v>
      </c>
      <c r="C15" s="38">
        <v>455.66</v>
      </c>
      <c r="D15" s="38">
        <v>449.4</v>
      </c>
      <c r="E15" s="22">
        <v>463.51</v>
      </c>
      <c r="F15" s="22">
        <v>484.46</v>
      </c>
      <c r="G15" s="22">
        <v>441.45</v>
      </c>
      <c r="H15" s="22">
        <v>443.1</v>
      </c>
      <c r="I15" s="126">
        <v>432.29</v>
      </c>
    </row>
    <row r="16" spans="2:9">
      <c r="B16" s="126">
        <v>457.8</v>
      </c>
      <c r="C16" s="38">
        <v>457.71</v>
      </c>
      <c r="D16" s="38">
        <v>460.03</v>
      </c>
      <c r="E16" s="22">
        <v>449.27</v>
      </c>
      <c r="F16" s="22">
        <v>484.46</v>
      </c>
      <c r="G16" s="22">
        <v>431.64</v>
      </c>
      <c r="H16" s="22">
        <v>457.53</v>
      </c>
      <c r="I16" s="126">
        <v>452.96</v>
      </c>
    </row>
    <row r="17" spans="2:9">
      <c r="B17" s="126">
        <v>472.2</v>
      </c>
      <c r="C17" s="38">
        <v>468.36</v>
      </c>
      <c r="D17" s="38">
        <v>462.51</v>
      </c>
      <c r="E17" s="22">
        <v>438.87</v>
      </c>
      <c r="F17" s="22">
        <v>448.03</v>
      </c>
      <c r="G17" s="22">
        <v>448.6</v>
      </c>
      <c r="H17" s="22">
        <v>456.22</v>
      </c>
      <c r="I17" s="126">
        <v>451.89</v>
      </c>
    </row>
    <row r="18" spans="2:9">
      <c r="B18" s="126">
        <v>486.97</v>
      </c>
      <c r="C18" s="38">
        <v>469.32</v>
      </c>
      <c r="D18" s="38">
        <v>437.53</v>
      </c>
      <c r="E18" s="22">
        <v>463.67</v>
      </c>
      <c r="F18" s="22">
        <v>484.46</v>
      </c>
      <c r="G18" s="22">
        <v>470.07</v>
      </c>
      <c r="H18" s="22">
        <v>441.91</v>
      </c>
      <c r="I18" s="126">
        <v>450.38</v>
      </c>
    </row>
    <row r="19" spans="2:9">
      <c r="B19" s="126">
        <v>480.17</v>
      </c>
      <c r="C19" s="38">
        <v>459</v>
      </c>
      <c r="D19" s="38">
        <v>462.84</v>
      </c>
      <c r="E19" s="22">
        <v>468.41</v>
      </c>
      <c r="F19" s="22">
        <v>462.47</v>
      </c>
      <c r="G19" s="22">
        <v>465.9</v>
      </c>
      <c r="H19" s="22">
        <v>433.58</v>
      </c>
      <c r="I19" s="126">
        <v>451.96</v>
      </c>
    </row>
    <row r="20" spans="2:9">
      <c r="B20" s="126">
        <v>462.1</v>
      </c>
      <c r="C20" s="38">
        <v>459.11</v>
      </c>
      <c r="D20" s="38">
        <v>471.1</v>
      </c>
      <c r="E20" s="22">
        <v>479.2</v>
      </c>
      <c r="F20" s="22">
        <v>456.58</v>
      </c>
      <c r="G20" s="22">
        <v>461.3</v>
      </c>
      <c r="H20" s="22">
        <v>459.76</v>
      </c>
      <c r="I20" s="126">
        <v>483.31</v>
      </c>
    </row>
    <row r="21" spans="2:9">
      <c r="B21" s="126">
        <v>477.17</v>
      </c>
      <c r="C21" s="38">
        <v>466.4</v>
      </c>
      <c r="D21" s="38">
        <v>454.38</v>
      </c>
      <c r="E21" s="22">
        <v>438.76</v>
      </c>
      <c r="F21" s="22">
        <v>464.74</v>
      </c>
      <c r="G21" s="22">
        <v>455.5</v>
      </c>
      <c r="H21" s="22">
        <v>439.59</v>
      </c>
      <c r="I21" s="126">
        <v>464.86</v>
      </c>
    </row>
    <row r="22" spans="2:9">
      <c r="B22" s="126">
        <v>458.36</v>
      </c>
      <c r="C22" s="38">
        <v>475.27</v>
      </c>
      <c r="D22" s="38">
        <v>479.96</v>
      </c>
      <c r="E22" s="22">
        <v>499.69</v>
      </c>
      <c r="F22" s="22">
        <v>450.44</v>
      </c>
      <c r="G22" s="22">
        <v>446.98</v>
      </c>
      <c r="H22" s="22">
        <v>470.3</v>
      </c>
      <c r="I22" s="126">
        <v>452.25</v>
      </c>
    </row>
    <row r="23" spans="2:9">
      <c r="B23" s="126">
        <v>489.08</v>
      </c>
      <c r="C23" s="38">
        <v>493.56</v>
      </c>
      <c r="D23" s="38">
        <v>473.4</v>
      </c>
      <c r="E23" s="22">
        <v>473</v>
      </c>
      <c r="F23" s="22">
        <v>439.59</v>
      </c>
      <c r="G23" s="22">
        <v>487.66</v>
      </c>
      <c r="H23" s="22">
        <v>434.86</v>
      </c>
      <c r="I23" s="126">
        <v>430.14</v>
      </c>
    </row>
    <row r="24" spans="2:9">
      <c r="B24" s="126">
        <v>489.98</v>
      </c>
      <c r="C24" s="38">
        <v>479.31</v>
      </c>
      <c r="D24" s="38">
        <v>450.2</v>
      </c>
      <c r="E24" s="22">
        <v>464.23</v>
      </c>
      <c r="F24" s="22">
        <v>459.9</v>
      </c>
      <c r="G24" s="22">
        <v>458.98</v>
      </c>
      <c r="H24" s="22">
        <v>467.87</v>
      </c>
      <c r="I24" s="126">
        <v>456.87</v>
      </c>
    </row>
    <row r="25" spans="2:9">
      <c r="B25" s="126">
        <v>483.12</v>
      </c>
      <c r="C25" s="38">
        <v>459.23</v>
      </c>
      <c r="D25" s="38">
        <v>456.1</v>
      </c>
      <c r="E25" s="22">
        <v>443.15</v>
      </c>
      <c r="F25" s="22">
        <v>445.42</v>
      </c>
      <c r="G25" s="22">
        <v>473.54</v>
      </c>
      <c r="H25" s="22">
        <v>480.58</v>
      </c>
      <c r="I25" s="126">
        <v>452.12</v>
      </c>
    </row>
    <row r="26" spans="2:9">
      <c r="B26" s="126">
        <v>456.8</v>
      </c>
      <c r="C26" s="38">
        <v>486.14</v>
      </c>
      <c r="D26" s="38">
        <v>437.13</v>
      </c>
      <c r="E26" s="22">
        <v>489.92</v>
      </c>
      <c r="F26" s="22">
        <v>437.26</v>
      </c>
      <c r="G26" s="22">
        <v>473.59</v>
      </c>
      <c r="H26" s="22">
        <v>448.03</v>
      </c>
      <c r="I26" s="126">
        <v>456</v>
      </c>
    </row>
    <row r="27" spans="2:9">
      <c r="B27" s="126">
        <v>460.45</v>
      </c>
      <c r="C27" s="38">
        <v>442.67</v>
      </c>
      <c r="D27" s="38">
        <v>451.9</v>
      </c>
      <c r="E27" s="22">
        <v>468.71</v>
      </c>
      <c r="F27" s="22">
        <v>484.5</v>
      </c>
      <c r="G27" s="22">
        <v>463.15</v>
      </c>
      <c r="H27" s="22">
        <v>460.5</v>
      </c>
      <c r="I27" s="126">
        <v>454.95</v>
      </c>
    </row>
    <row r="28" spans="2:9">
      <c r="B28" s="126">
        <v>448.92</v>
      </c>
      <c r="C28" s="38">
        <v>438.07</v>
      </c>
      <c r="D28" s="38">
        <v>476.17</v>
      </c>
      <c r="E28" s="22">
        <v>459.6</v>
      </c>
      <c r="F28" s="22">
        <v>459.59</v>
      </c>
      <c r="G28" s="22">
        <v>472.76</v>
      </c>
      <c r="H28" s="22">
        <v>467.64</v>
      </c>
      <c r="I28" s="126">
        <v>457.04</v>
      </c>
    </row>
    <row r="29" spans="2:9">
      <c r="B29" s="126">
        <v>478.7</v>
      </c>
      <c r="C29" s="38">
        <v>439.5</v>
      </c>
      <c r="D29" s="38">
        <v>473.59</v>
      </c>
      <c r="E29" s="22">
        <v>490.12</v>
      </c>
      <c r="F29" s="22">
        <v>484.5</v>
      </c>
      <c r="G29" s="22">
        <v>431.64</v>
      </c>
      <c r="H29" s="22">
        <v>437.82</v>
      </c>
      <c r="I29" s="126">
        <v>435.93</v>
      </c>
    </row>
    <row r="30" spans="2:9">
      <c r="B30" s="126">
        <v>474.15</v>
      </c>
      <c r="C30" s="38">
        <v>444.51</v>
      </c>
      <c r="D30" s="38">
        <v>454.62</v>
      </c>
      <c r="E30" s="22">
        <v>472.7</v>
      </c>
      <c r="F30" s="22">
        <v>477.92</v>
      </c>
      <c r="G30" s="22">
        <v>467.04</v>
      </c>
      <c r="H30" s="22">
        <v>463.4</v>
      </c>
      <c r="I30" s="126">
        <v>450.61</v>
      </c>
    </row>
    <row r="31" spans="2:9">
      <c r="B31" s="126">
        <v>485.86</v>
      </c>
      <c r="C31" s="38">
        <v>454.5</v>
      </c>
      <c r="D31" s="38">
        <v>471.06</v>
      </c>
      <c r="E31" s="22">
        <v>460.27</v>
      </c>
      <c r="F31" s="22">
        <v>436.22</v>
      </c>
      <c r="G31" s="22">
        <v>437.78</v>
      </c>
      <c r="H31" s="22">
        <v>471.93</v>
      </c>
      <c r="I31" s="126">
        <v>439.06</v>
      </c>
    </row>
    <row r="32" spans="2:9">
      <c r="B32" s="126">
        <v>503.82</v>
      </c>
      <c r="C32" s="38">
        <v>453.1</v>
      </c>
      <c r="D32" s="38">
        <v>486.76</v>
      </c>
      <c r="E32" s="22">
        <v>483.89</v>
      </c>
      <c r="F32" s="22">
        <v>473.37</v>
      </c>
      <c r="G32" s="22">
        <v>459.1</v>
      </c>
      <c r="H32" s="22">
        <v>447.21</v>
      </c>
      <c r="I32" s="126">
        <v>480.31</v>
      </c>
    </row>
    <row r="33" s="116" customFormat="1" spans="1:9">
      <c r="A33" s="127" t="s">
        <v>75</v>
      </c>
      <c r="B33" s="125">
        <f t="shared" ref="B33:I33" si="0">MIN(B3:B32)</f>
        <v>448.44</v>
      </c>
      <c r="C33" s="125">
        <f t="shared" si="0"/>
        <v>432.22</v>
      </c>
      <c r="D33" s="125">
        <f t="shared" si="0"/>
        <v>437.13</v>
      </c>
      <c r="E33" s="125">
        <f t="shared" si="0"/>
        <v>438.76</v>
      </c>
      <c r="F33" s="125">
        <f t="shared" si="0"/>
        <v>429.24</v>
      </c>
      <c r="G33" s="125">
        <f t="shared" si="0"/>
        <v>431.64</v>
      </c>
      <c r="H33" s="125">
        <f t="shared" si="0"/>
        <v>433.58</v>
      </c>
      <c r="I33" s="125">
        <f t="shared" si="0"/>
        <v>426.84</v>
      </c>
    </row>
    <row r="34" s="116" customFormat="1" spans="1:9">
      <c r="A34" s="38" t="s">
        <v>76</v>
      </c>
      <c r="B34" s="126">
        <f t="shared" ref="B34:I34" si="1">MAX(B3:B32)</f>
        <v>503.82</v>
      </c>
      <c r="C34" s="126">
        <f t="shared" si="1"/>
        <v>494.54</v>
      </c>
      <c r="D34" s="126">
        <f t="shared" si="1"/>
        <v>499.54</v>
      </c>
      <c r="E34" s="126">
        <f t="shared" si="1"/>
        <v>499.69</v>
      </c>
      <c r="F34" s="126">
        <f t="shared" si="1"/>
        <v>484.5</v>
      </c>
      <c r="G34" s="126">
        <f t="shared" si="1"/>
        <v>487.66</v>
      </c>
      <c r="H34" s="126">
        <f t="shared" si="1"/>
        <v>490.35</v>
      </c>
      <c r="I34" s="126">
        <f t="shared" si="1"/>
        <v>483.31</v>
      </c>
    </row>
    <row r="35" s="116" customFormat="1" spans="1:9">
      <c r="A35" s="38" t="s">
        <v>6</v>
      </c>
      <c r="B35" s="126">
        <f t="shared" ref="B35:H35" si="2">AVERAGE(B3:B32)</f>
        <v>471.86</v>
      </c>
      <c r="C35" s="126">
        <f t="shared" si="2"/>
        <v>462.088333333333</v>
      </c>
      <c r="D35" s="126">
        <f t="shared" si="2"/>
        <v>464.09</v>
      </c>
      <c r="E35" s="126">
        <f t="shared" si="2"/>
        <v>465.613666666667</v>
      </c>
      <c r="F35" s="126">
        <f t="shared" si="2"/>
        <v>455.963666666667</v>
      </c>
      <c r="G35" s="126">
        <f t="shared" si="2"/>
        <v>457.490666666667</v>
      </c>
      <c r="H35" s="126">
        <f t="shared" si="2"/>
        <v>458.398333333333</v>
      </c>
      <c r="I35" s="126">
        <f>AVERAGE(I3:I33)</f>
        <v>448.223225806452</v>
      </c>
    </row>
    <row r="36" s="43" customFormat="1" spans="1:9">
      <c r="A36" s="128"/>
      <c r="B36" s="128"/>
      <c r="C36" s="128">
        <f>(B35-C35)/B35</f>
        <v>0.0207088260642283</v>
      </c>
      <c r="D36" s="128">
        <f>(B35-D35)/B35</f>
        <v>0.0164667486118765</v>
      </c>
      <c r="E36" s="128">
        <f>(B35-E35)/B35</f>
        <v>0.0132376834936915</v>
      </c>
      <c r="F36" s="128">
        <f>(B35-F35)/B35</f>
        <v>0.0336886647169357</v>
      </c>
      <c r="G36" s="128">
        <f>(B35-G35)/B35</f>
        <v>0.0304525353565324</v>
      </c>
      <c r="H36" s="128">
        <f>(B35-H35)/B35</f>
        <v>0.0285289422003702</v>
      </c>
      <c r="I36" s="128">
        <f>(B35-I35)/B35</f>
        <v>0.0500927694518464</v>
      </c>
    </row>
    <row r="40" ht="19.5" spans="1:9">
      <c r="G40" s="115" t="s">
        <v>77</v>
      </c>
      <c r="H40" s="22" t="s">
        <v>78</v>
      </c>
    </row>
    <row r="41" spans="1:9">
      <c r="B41" s="38" t="s">
        <v>65</v>
      </c>
      <c r="C41" s="129" t="s">
        <v>79</v>
      </c>
      <c r="D41" s="129" t="s">
        <v>79</v>
      </c>
      <c r="E41" s="129" t="s">
        <v>79</v>
      </c>
      <c r="F41" s="74">
        <v>1</v>
      </c>
      <c r="G41" s="74">
        <v>448.44</v>
      </c>
      <c r="H41" s="74" t="s">
        <v>80</v>
      </c>
    </row>
    <row r="42" spans="1:9">
      <c r="B42" s="38" t="s">
        <v>69</v>
      </c>
      <c r="C42" s="129" t="s">
        <v>81</v>
      </c>
      <c r="D42" s="129" t="s">
        <v>79</v>
      </c>
      <c r="E42" s="129" t="s">
        <v>79</v>
      </c>
      <c r="F42" s="74">
        <v>2</v>
      </c>
      <c r="G42" s="74">
        <v>432.22</v>
      </c>
      <c r="H42" s="130">
        <f>(G41-G42)/G41</f>
        <v>0.0361698331995361</v>
      </c>
    </row>
    <row r="43" spans="1:9">
      <c r="B43" s="38" t="s">
        <v>70</v>
      </c>
      <c r="C43" s="129" t="s">
        <v>79</v>
      </c>
      <c r="D43" s="129" t="s">
        <v>81</v>
      </c>
      <c r="E43" s="129" t="s">
        <v>79</v>
      </c>
      <c r="F43" s="74">
        <v>3</v>
      </c>
      <c r="G43" s="74">
        <v>437.13</v>
      </c>
      <c r="H43" s="130">
        <f>(G41-G43)/G41</f>
        <v>0.0252207653197752</v>
      </c>
    </row>
    <row r="44" spans="1:9">
      <c r="B44" s="38" t="s">
        <v>71</v>
      </c>
      <c r="C44" s="129" t="s">
        <v>79</v>
      </c>
      <c r="D44" s="129" t="s">
        <v>79</v>
      </c>
      <c r="E44" s="129" t="s">
        <v>81</v>
      </c>
      <c r="F44" s="74">
        <v>4</v>
      </c>
      <c r="G44" s="74">
        <v>438.76</v>
      </c>
      <c r="H44" s="130">
        <f>(G41-G44)/G41</f>
        <v>0.0215859423780216</v>
      </c>
    </row>
    <row r="45" spans="1:9">
      <c r="B45" s="38" t="s">
        <v>72</v>
      </c>
      <c r="C45" s="129" t="s">
        <v>81</v>
      </c>
      <c r="D45" s="129" t="s">
        <v>81</v>
      </c>
      <c r="E45" s="129" t="s">
        <v>79</v>
      </c>
      <c r="F45" s="74">
        <v>5</v>
      </c>
      <c r="G45" s="75">
        <v>429.4</v>
      </c>
      <c r="H45" s="130">
        <f>(G41-G45)/G41</f>
        <v>0.0424582998840425</v>
      </c>
    </row>
    <row r="46" spans="1:9">
      <c r="B46" s="22" t="s">
        <v>73</v>
      </c>
      <c r="C46" s="129" t="s">
        <v>81</v>
      </c>
      <c r="D46" s="129" t="s">
        <v>79</v>
      </c>
      <c r="E46" s="129" t="s">
        <v>81</v>
      </c>
      <c r="F46" s="74">
        <v>6</v>
      </c>
      <c r="G46" s="74">
        <v>431.64</v>
      </c>
      <c r="H46" s="130">
        <f>(G41-G46)/G41</f>
        <v>0.0374632057800375</v>
      </c>
    </row>
    <row r="47" spans="1:9">
      <c r="B47" s="22" t="s">
        <v>74</v>
      </c>
      <c r="C47" s="129" t="s">
        <v>79</v>
      </c>
      <c r="D47" s="129" t="s">
        <v>81</v>
      </c>
      <c r="E47" s="129" t="s">
        <v>81</v>
      </c>
      <c r="F47" s="74">
        <v>7</v>
      </c>
      <c r="G47" s="74">
        <v>433.58</v>
      </c>
      <c r="H47" s="130">
        <f>(G41-G47)/G41</f>
        <v>0.0331370974935332</v>
      </c>
    </row>
    <row r="48" spans="1:9">
      <c r="B48" s="22" t="s">
        <v>68</v>
      </c>
      <c r="C48" s="129" t="s">
        <v>81</v>
      </c>
      <c r="D48" s="129" t="s">
        <v>81</v>
      </c>
      <c r="E48" s="129" t="s">
        <v>81</v>
      </c>
      <c r="F48" s="74">
        <v>8</v>
      </c>
      <c r="G48" s="74">
        <v>426.84</v>
      </c>
      <c r="H48" s="130">
        <f>(G41-G48)/G41</f>
        <v>0.0481669788600482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3"/>
  <sheetViews>
    <sheetView workbookViewId="0">
      <selection activeCell="J18" sqref="J18"/>
    </sheetView>
  </sheetViews>
  <sheetFormatPr defaultColWidth="9" defaultRowHeight="15.75"/>
  <cols>
    <col min="1" max="12" width="9" style="114"/>
  </cols>
  <sheetData>
    <row r="2" ht="21" customHeight="1" spans="1:12">
      <c r="A2" s="118" t="s">
        <v>82</v>
      </c>
      <c r="B2" s="118" t="s">
        <v>79</v>
      </c>
      <c r="C2" s="118" t="s">
        <v>83</v>
      </c>
      <c r="D2" s="118" t="s">
        <v>84</v>
      </c>
      <c r="E2" s="118" t="s">
        <v>85</v>
      </c>
      <c r="F2" s="118" t="s">
        <v>86</v>
      </c>
      <c r="G2" s="118" t="s">
        <v>82</v>
      </c>
      <c r="H2" s="118" t="s">
        <v>79</v>
      </c>
      <c r="I2" s="118" t="s">
        <v>83</v>
      </c>
      <c r="J2" s="118" t="s">
        <v>84</v>
      </c>
      <c r="K2" s="118" t="s">
        <v>85</v>
      </c>
      <c r="L2" s="118" t="s">
        <v>86</v>
      </c>
    </row>
    <row r="3" ht="21" customHeight="1" spans="1:12">
      <c r="A3" s="119">
        <v>3</v>
      </c>
      <c r="B3" s="119">
        <v>3</v>
      </c>
      <c r="C3" s="119">
        <v>3</v>
      </c>
      <c r="D3" s="119">
        <v>3</v>
      </c>
      <c r="E3" s="120">
        <v>2</v>
      </c>
      <c r="F3" s="119" t="s">
        <v>87</v>
      </c>
      <c r="G3" s="119">
        <v>4</v>
      </c>
      <c r="H3" s="119">
        <v>4</v>
      </c>
      <c r="I3" s="119">
        <v>37</v>
      </c>
      <c r="J3" s="119">
        <v>3</v>
      </c>
      <c r="K3" s="120">
        <v>8.33</v>
      </c>
      <c r="L3" s="119" t="s">
        <v>88</v>
      </c>
    </row>
    <row r="4" ht="21" customHeight="1" spans="1:12">
      <c r="A4" s="48">
        <v>7</v>
      </c>
      <c r="B4" s="48">
        <v>3</v>
      </c>
      <c r="C4" s="48">
        <v>27</v>
      </c>
      <c r="D4" s="48">
        <v>4</v>
      </c>
      <c r="E4" s="50">
        <v>3.62</v>
      </c>
      <c r="F4" s="48"/>
      <c r="G4" s="48">
        <v>8</v>
      </c>
      <c r="H4" s="48">
        <v>5</v>
      </c>
      <c r="I4" s="48">
        <v>37</v>
      </c>
      <c r="J4" s="48">
        <v>3</v>
      </c>
      <c r="K4" s="50">
        <v>5.21</v>
      </c>
      <c r="L4" s="121"/>
    </row>
    <row r="5" ht="21" customHeight="1" spans="1:12">
      <c r="A5" s="48">
        <v>11</v>
      </c>
      <c r="B5" s="48">
        <v>3</v>
      </c>
      <c r="C5" s="48">
        <v>12</v>
      </c>
      <c r="D5" s="48">
        <v>6</v>
      </c>
      <c r="E5" s="50">
        <v>1.67</v>
      </c>
      <c r="F5" s="48"/>
      <c r="G5" s="48">
        <v>9</v>
      </c>
      <c r="H5" s="48">
        <v>7</v>
      </c>
      <c r="I5" s="48">
        <v>40</v>
      </c>
      <c r="J5" s="48">
        <v>4</v>
      </c>
      <c r="K5" s="50">
        <v>1.88</v>
      </c>
      <c r="L5" s="121"/>
    </row>
    <row r="6" ht="21" customHeight="1" spans="1:12">
      <c r="A6" s="48">
        <v>14</v>
      </c>
      <c r="B6" s="48">
        <v>6</v>
      </c>
      <c r="C6" s="48">
        <v>5</v>
      </c>
      <c r="D6" s="48">
        <v>6</v>
      </c>
      <c r="E6" s="50">
        <v>4.39</v>
      </c>
      <c r="F6" s="48"/>
      <c r="G6" s="48">
        <v>10</v>
      </c>
      <c r="H6" s="48">
        <v>15</v>
      </c>
      <c r="I6" s="48">
        <v>8</v>
      </c>
      <c r="J6" s="48">
        <v>4</v>
      </c>
      <c r="K6" s="50">
        <v>10</v>
      </c>
      <c r="L6" s="121"/>
    </row>
    <row r="7" ht="21" customHeight="1" spans="1:12">
      <c r="A7" s="48">
        <v>16</v>
      </c>
      <c r="B7" s="48">
        <v>3</v>
      </c>
      <c r="C7" s="48">
        <v>20</v>
      </c>
      <c r="D7" s="48">
        <v>7</v>
      </c>
      <c r="E7" s="50">
        <v>1.26</v>
      </c>
      <c r="F7" s="48"/>
      <c r="G7" s="48">
        <v>12</v>
      </c>
      <c r="H7" s="48">
        <v>16</v>
      </c>
      <c r="I7" s="48">
        <v>39</v>
      </c>
      <c r="J7" s="48">
        <v>5</v>
      </c>
      <c r="K7" s="50">
        <v>8.33</v>
      </c>
      <c r="L7" s="121"/>
    </row>
    <row r="8" ht="21" customHeight="1" spans="1:12">
      <c r="A8" s="48">
        <v>28</v>
      </c>
      <c r="B8" s="48">
        <v>2</v>
      </c>
      <c r="C8" s="48">
        <v>19</v>
      </c>
      <c r="D8" s="48">
        <v>8</v>
      </c>
      <c r="E8" s="50">
        <v>2.84</v>
      </c>
      <c r="F8" s="48"/>
      <c r="G8" s="48">
        <v>13</v>
      </c>
      <c r="H8" s="48">
        <v>13</v>
      </c>
      <c r="I8" s="48">
        <v>1</v>
      </c>
      <c r="J8" s="48">
        <v>7</v>
      </c>
      <c r="K8" s="50">
        <v>2.38</v>
      </c>
      <c r="L8" s="121"/>
    </row>
    <row r="9" ht="21" customHeight="1" spans="1:12">
      <c r="A9" s="48">
        <v>30</v>
      </c>
      <c r="B9" s="48">
        <v>4</v>
      </c>
      <c r="C9" s="48">
        <v>10</v>
      </c>
      <c r="D9" s="48">
        <v>3</v>
      </c>
      <c r="E9" s="50">
        <v>4</v>
      </c>
      <c r="F9" s="48"/>
      <c r="G9" s="48">
        <v>15</v>
      </c>
      <c r="H9" s="48">
        <v>3</v>
      </c>
      <c r="I9" s="48">
        <v>35</v>
      </c>
      <c r="J9" s="48">
        <v>11</v>
      </c>
      <c r="K9" s="50">
        <v>11.36</v>
      </c>
      <c r="L9" s="121"/>
    </row>
    <row r="10" ht="21" customHeight="1" spans="1:12">
      <c r="A10" s="48">
        <v>32</v>
      </c>
      <c r="B10" s="48">
        <v>7</v>
      </c>
      <c r="C10" s="48">
        <v>15</v>
      </c>
      <c r="D10" s="48">
        <v>5</v>
      </c>
      <c r="E10" s="50">
        <v>1</v>
      </c>
      <c r="F10" s="48"/>
      <c r="G10" s="48">
        <v>18</v>
      </c>
      <c r="H10" s="48">
        <v>1</v>
      </c>
      <c r="I10" s="48">
        <v>9</v>
      </c>
      <c r="J10" s="48">
        <v>12</v>
      </c>
      <c r="K10" s="50">
        <v>3.79</v>
      </c>
      <c r="L10" s="121"/>
    </row>
    <row r="11" ht="21" customHeight="1" spans="1:12">
      <c r="A11" s="48">
        <v>35</v>
      </c>
      <c r="B11" s="48">
        <v>2</v>
      </c>
      <c r="C11" s="48">
        <v>23</v>
      </c>
      <c r="D11" s="48">
        <v>2</v>
      </c>
      <c r="E11" s="50">
        <v>1.97</v>
      </c>
      <c r="F11" s="48"/>
      <c r="G11" s="48">
        <v>19</v>
      </c>
      <c r="H11" s="48">
        <v>15</v>
      </c>
      <c r="I11" s="48">
        <v>14</v>
      </c>
      <c r="J11" s="48">
        <v>12</v>
      </c>
      <c r="K11" s="50">
        <v>2.08</v>
      </c>
      <c r="L11" s="121"/>
    </row>
    <row r="12" ht="21" customHeight="1" spans="1:12">
      <c r="A12" s="48">
        <v>40</v>
      </c>
      <c r="B12" s="48">
        <v>1</v>
      </c>
      <c r="C12" s="48">
        <v>18</v>
      </c>
      <c r="D12" s="48">
        <v>4</v>
      </c>
      <c r="E12" s="50">
        <v>1.67</v>
      </c>
      <c r="F12" s="48"/>
      <c r="G12" s="48">
        <v>20</v>
      </c>
      <c r="H12" s="48">
        <v>11</v>
      </c>
      <c r="I12" s="48">
        <v>37</v>
      </c>
      <c r="J12" s="48">
        <v>13</v>
      </c>
      <c r="K12" s="50">
        <v>1.62</v>
      </c>
      <c r="L12" s="121"/>
    </row>
    <row r="13" ht="21" customHeight="1" spans="1:12">
      <c r="A13" s="48">
        <v>5</v>
      </c>
      <c r="B13" s="48">
        <v>9</v>
      </c>
      <c r="C13" s="48">
        <v>19</v>
      </c>
      <c r="D13" s="48">
        <v>1</v>
      </c>
      <c r="E13" s="50">
        <v>25</v>
      </c>
      <c r="F13" s="48" t="s">
        <v>89</v>
      </c>
      <c r="G13" s="48">
        <v>23</v>
      </c>
      <c r="H13" s="48">
        <v>14</v>
      </c>
      <c r="I13" s="48">
        <v>5</v>
      </c>
      <c r="J13" s="48">
        <v>13</v>
      </c>
      <c r="K13" s="50">
        <v>2.1</v>
      </c>
      <c r="L13" s="121"/>
    </row>
    <row r="14" ht="21" customHeight="1" spans="1:12">
      <c r="A14" s="48">
        <v>6</v>
      </c>
      <c r="B14" s="48">
        <v>11</v>
      </c>
      <c r="C14" s="48">
        <v>25</v>
      </c>
      <c r="D14" s="48">
        <v>1</v>
      </c>
      <c r="E14" s="50">
        <v>7.81</v>
      </c>
      <c r="F14" s="48"/>
      <c r="G14" s="48">
        <v>24</v>
      </c>
      <c r="H14" s="48">
        <v>15</v>
      </c>
      <c r="I14" s="48">
        <v>25</v>
      </c>
      <c r="J14" s="48">
        <v>1</v>
      </c>
      <c r="K14" s="50">
        <v>3.69</v>
      </c>
      <c r="L14" s="121"/>
    </row>
    <row r="15" ht="21" customHeight="1" spans="1:12">
      <c r="A15" s="48">
        <v>17</v>
      </c>
      <c r="B15" s="48">
        <v>10</v>
      </c>
      <c r="C15" s="48">
        <v>22</v>
      </c>
      <c r="D15" s="48">
        <v>2</v>
      </c>
      <c r="E15" s="50">
        <v>12.5</v>
      </c>
      <c r="F15" s="48"/>
      <c r="G15" s="48">
        <v>25</v>
      </c>
      <c r="H15" s="48">
        <v>15</v>
      </c>
      <c r="I15" s="48">
        <v>17</v>
      </c>
      <c r="J15" s="48">
        <v>3</v>
      </c>
      <c r="K15" s="50">
        <v>1.78</v>
      </c>
      <c r="L15" s="121"/>
    </row>
    <row r="16" ht="21" customHeight="1" spans="1:12">
      <c r="A16" s="48">
        <v>21</v>
      </c>
      <c r="B16" s="48">
        <v>9</v>
      </c>
      <c r="C16" s="48">
        <v>8</v>
      </c>
      <c r="D16" s="48">
        <v>5</v>
      </c>
      <c r="E16" s="50">
        <v>6.94</v>
      </c>
      <c r="F16" s="48"/>
      <c r="G16" s="48">
        <v>26</v>
      </c>
      <c r="H16" s="48">
        <v>14</v>
      </c>
      <c r="I16" s="48">
        <v>5</v>
      </c>
      <c r="J16" s="48">
        <v>4</v>
      </c>
      <c r="K16" s="50">
        <v>2.5</v>
      </c>
      <c r="L16" s="121"/>
    </row>
    <row r="17" ht="21" customHeight="1" spans="1:12">
      <c r="A17" s="48">
        <v>22</v>
      </c>
      <c r="B17" s="48">
        <v>2</v>
      </c>
      <c r="C17" s="48">
        <v>33</v>
      </c>
      <c r="D17" s="48">
        <v>7</v>
      </c>
      <c r="E17" s="50">
        <v>8.33</v>
      </c>
      <c r="F17" s="48"/>
      <c r="G17" s="48">
        <v>27</v>
      </c>
      <c r="H17" s="48">
        <v>16</v>
      </c>
      <c r="I17" s="48">
        <v>38</v>
      </c>
      <c r="J17" s="48">
        <v>4</v>
      </c>
      <c r="K17" s="50">
        <v>1.5</v>
      </c>
      <c r="L17" s="121"/>
    </row>
    <row r="18" ht="21" customHeight="1" spans="1:12">
      <c r="A18" s="48">
        <v>33</v>
      </c>
      <c r="B18" s="48">
        <v>8</v>
      </c>
      <c r="C18" s="48">
        <v>24</v>
      </c>
      <c r="D18" s="48">
        <v>9</v>
      </c>
      <c r="E18" s="50">
        <v>10.42</v>
      </c>
      <c r="F18" s="48"/>
      <c r="G18" s="48">
        <v>29</v>
      </c>
      <c r="H18" s="48">
        <v>15</v>
      </c>
      <c r="I18" s="48">
        <v>25</v>
      </c>
      <c r="J18" s="48">
        <v>6</v>
      </c>
      <c r="K18" s="50">
        <v>2.86</v>
      </c>
      <c r="L18" s="121"/>
    </row>
    <row r="19" ht="21" customHeight="1" spans="1:12">
      <c r="A19" s="48">
        <v>34</v>
      </c>
      <c r="B19" s="48">
        <v>5</v>
      </c>
      <c r="C19" s="48">
        <v>9</v>
      </c>
      <c r="D19" s="48">
        <v>10</v>
      </c>
      <c r="E19" s="50">
        <v>12.88</v>
      </c>
      <c r="F19" s="48"/>
      <c r="G19" s="48">
        <v>31</v>
      </c>
      <c r="H19" s="48">
        <v>1</v>
      </c>
      <c r="I19" s="48">
        <v>40</v>
      </c>
      <c r="J19" s="48">
        <v>10</v>
      </c>
      <c r="K19" s="50">
        <v>2.67</v>
      </c>
      <c r="L19" s="121"/>
    </row>
    <row r="20" ht="21" customHeight="1" spans="1:12">
      <c r="A20" s="48">
        <v>38</v>
      </c>
      <c r="B20" s="48">
        <v>12</v>
      </c>
      <c r="C20" s="48">
        <v>1</v>
      </c>
      <c r="D20" s="48">
        <v>10</v>
      </c>
      <c r="E20" s="50">
        <v>8</v>
      </c>
      <c r="F20" s="48"/>
      <c r="G20" s="48">
        <v>36</v>
      </c>
      <c r="H20" s="48">
        <v>1</v>
      </c>
      <c r="I20" s="48">
        <v>1</v>
      </c>
      <c r="J20" s="48">
        <v>12</v>
      </c>
      <c r="K20" s="50">
        <v>9.23</v>
      </c>
      <c r="L20" s="121"/>
    </row>
    <row r="21" ht="21" customHeight="1" spans="1:12">
      <c r="A21" s="48">
        <v>1</v>
      </c>
      <c r="B21" s="48">
        <v>15</v>
      </c>
      <c r="C21" s="48">
        <v>6</v>
      </c>
      <c r="D21" s="48">
        <v>1</v>
      </c>
      <c r="E21" s="50">
        <v>1.55</v>
      </c>
      <c r="F21" s="48"/>
      <c r="G21" s="48">
        <v>37</v>
      </c>
      <c r="H21" s="48">
        <v>5</v>
      </c>
      <c r="I21" s="48">
        <v>3</v>
      </c>
      <c r="J21" s="48">
        <v>12</v>
      </c>
      <c r="K21" s="50">
        <v>2.82</v>
      </c>
      <c r="L21" s="121"/>
    </row>
    <row r="22" ht="21" customHeight="1" spans="1:12">
      <c r="A22" s="122">
        <v>2</v>
      </c>
      <c r="B22" s="122">
        <v>13</v>
      </c>
      <c r="C22" s="122">
        <v>14</v>
      </c>
      <c r="D22" s="122">
        <v>2</v>
      </c>
      <c r="E22" s="123">
        <v>12.5</v>
      </c>
      <c r="F22" s="122"/>
      <c r="G22" s="122">
        <v>39</v>
      </c>
      <c r="H22" s="122">
        <v>13</v>
      </c>
      <c r="I22" s="122">
        <v>3</v>
      </c>
      <c r="J22" s="122">
        <v>12</v>
      </c>
      <c r="K22" s="123">
        <v>1.5</v>
      </c>
      <c r="L22" s="122"/>
    </row>
    <row r="23" ht="15" spans="1:12">
      <c r="A23" s="124" t="s">
        <v>90</v>
      </c>
      <c r="B23" s="124"/>
      <c r="C23" s="124"/>
      <c r="D23" s="124"/>
      <c r="E23" s="124"/>
      <c r="F23" s="124"/>
      <c r="G23" s="124"/>
      <c r="H23" s="124"/>
      <c r="I23" s="124"/>
      <c r="J23" s="124"/>
      <c r="K23" s="124"/>
      <c r="L23" s="124"/>
    </row>
  </sheetData>
  <mergeCells count="5">
    <mergeCell ref="A23:L23"/>
    <mergeCell ref="F3:F12"/>
    <mergeCell ref="F13:F20"/>
    <mergeCell ref="F21:F22"/>
    <mergeCell ref="L3:L22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2"/>
  <sheetViews>
    <sheetView workbookViewId="0">
      <selection activeCell="T8" sqref="T8"/>
    </sheetView>
  </sheetViews>
  <sheetFormatPr defaultColWidth="9" defaultRowHeight="15.75"/>
  <cols>
    <col min="1" max="1" width="9" style="22"/>
    <col min="2" max="4" width="9.75" style="22" customWidth="1"/>
    <col min="5" max="5" width="12.375" style="22" customWidth="1"/>
    <col min="6" max="10" width="9" style="22"/>
    <col min="11" max="11" width="10.125" style="22" customWidth="1"/>
    <col min="12" max="12" width="10.875" style="22" customWidth="1"/>
    <col min="13" max="15" width="9" style="22"/>
    <col min="16" max="18" width="13.375" style="22" customWidth="1"/>
    <col min="19" max="20" width="13.5" style="22" customWidth="1"/>
    <col min="21" max="22" width="9" style="22"/>
    <col min="23" max="25" width="13" style="22" customWidth="1"/>
    <col min="26" max="26" width="12.5" style="22" customWidth="1"/>
    <col min="27" max="16384" width="9" style="22"/>
  </cols>
  <sheetData>
    <row r="1" ht="19.5" spans="1:26">
      <c r="A1" s="115" t="s">
        <v>91</v>
      </c>
      <c r="B1" s="21" t="s">
        <v>92</v>
      </c>
      <c r="C1" s="21" t="s">
        <v>93</v>
      </c>
      <c r="D1" s="21" t="s">
        <v>94</v>
      </c>
      <c r="E1" s="22" t="s">
        <v>95</v>
      </c>
      <c r="H1" s="115" t="s">
        <v>91</v>
      </c>
      <c r="I1" s="21" t="s">
        <v>92</v>
      </c>
      <c r="J1" s="21" t="s">
        <v>93</v>
      </c>
      <c r="K1" s="21" t="s">
        <v>94</v>
      </c>
      <c r="L1" s="22" t="s">
        <v>96</v>
      </c>
      <c r="O1" s="115" t="s">
        <v>91</v>
      </c>
      <c r="P1" s="21" t="s">
        <v>92</v>
      </c>
      <c r="Q1" s="21" t="s">
        <v>93</v>
      </c>
      <c r="R1" s="21" t="s">
        <v>94</v>
      </c>
      <c r="S1" s="22" t="s">
        <v>96</v>
      </c>
      <c r="T1" s="116" t="s">
        <v>97</v>
      </c>
      <c r="V1" s="115" t="s">
        <v>91</v>
      </c>
      <c r="W1" s="21" t="s">
        <v>92</v>
      </c>
      <c r="X1" s="21" t="s">
        <v>93</v>
      </c>
      <c r="Y1" s="21" t="s">
        <v>94</v>
      </c>
      <c r="Z1" s="22" t="s">
        <v>96</v>
      </c>
    </row>
    <row r="2" spans="1:26">
      <c r="A2" s="22">
        <v>1</v>
      </c>
      <c r="B2" s="22">
        <v>22</v>
      </c>
      <c r="C2" s="22">
        <v>9</v>
      </c>
      <c r="D2" s="22">
        <v>11</v>
      </c>
      <c r="E2" s="22" t="s">
        <v>87</v>
      </c>
      <c r="H2" s="22">
        <v>1</v>
      </c>
      <c r="I2" s="22">
        <v>28</v>
      </c>
      <c r="J2" s="22">
        <v>4</v>
      </c>
      <c r="K2" s="22">
        <v>3</v>
      </c>
      <c r="L2" s="22" t="s">
        <v>87</v>
      </c>
      <c r="O2" s="22">
        <v>1</v>
      </c>
      <c r="P2" s="22">
        <v>27</v>
      </c>
      <c r="Q2" s="22">
        <v>5</v>
      </c>
      <c r="R2" s="22">
        <v>25</v>
      </c>
      <c r="S2" s="22" t="s">
        <v>87</v>
      </c>
      <c r="T2" s="22">
        <v>3</v>
      </c>
      <c r="V2" s="22">
        <v>1</v>
      </c>
      <c r="W2" s="22">
        <v>22</v>
      </c>
      <c r="X2" s="22">
        <v>5</v>
      </c>
      <c r="Y2" s="22">
        <v>24</v>
      </c>
      <c r="Z2" s="22" t="s">
        <v>87</v>
      </c>
    </row>
    <row r="3" spans="1:26">
      <c r="A3" s="22">
        <v>2</v>
      </c>
      <c r="B3" s="22">
        <v>26</v>
      </c>
      <c r="C3" s="22">
        <v>5</v>
      </c>
      <c r="D3" s="22">
        <v>10</v>
      </c>
      <c r="E3" s="22" t="s">
        <v>87</v>
      </c>
      <c r="H3" s="22">
        <v>2</v>
      </c>
      <c r="I3" s="22">
        <v>25</v>
      </c>
      <c r="J3" s="22">
        <v>4</v>
      </c>
      <c r="K3" s="22">
        <v>16</v>
      </c>
      <c r="L3" s="22" t="s">
        <v>87</v>
      </c>
      <c r="O3" s="22">
        <v>2</v>
      </c>
      <c r="P3" s="22">
        <v>22</v>
      </c>
      <c r="Q3" s="22">
        <v>3</v>
      </c>
      <c r="R3" s="22">
        <v>23</v>
      </c>
      <c r="S3" s="22" t="s">
        <v>87</v>
      </c>
      <c r="T3" s="22">
        <v>7</v>
      </c>
      <c r="V3" s="22">
        <v>2</v>
      </c>
      <c r="W3" s="22">
        <v>9</v>
      </c>
      <c r="X3" s="22">
        <v>8</v>
      </c>
      <c r="Y3" s="22">
        <v>23</v>
      </c>
      <c r="Z3" s="22" t="s">
        <v>87</v>
      </c>
    </row>
    <row r="4" spans="1:26">
      <c r="A4" s="22">
        <v>3</v>
      </c>
      <c r="B4" s="22">
        <v>27</v>
      </c>
      <c r="C4" s="22">
        <v>8</v>
      </c>
      <c r="D4" s="22">
        <v>14</v>
      </c>
      <c r="E4" s="22" t="s">
        <v>87</v>
      </c>
      <c r="H4" s="22">
        <v>3</v>
      </c>
      <c r="I4" s="22">
        <v>22</v>
      </c>
      <c r="J4" s="22">
        <v>3</v>
      </c>
      <c r="K4" s="22">
        <v>8</v>
      </c>
      <c r="L4" s="22" t="s">
        <v>87</v>
      </c>
      <c r="O4" s="22">
        <v>3</v>
      </c>
      <c r="P4" s="22">
        <v>26</v>
      </c>
      <c r="Q4" s="22">
        <v>10</v>
      </c>
      <c r="R4" s="22">
        <v>15</v>
      </c>
      <c r="S4" s="22" t="s">
        <v>87</v>
      </c>
      <c r="T4" s="22">
        <v>11</v>
      </c>
      <c r="V4" s="22">
        <v>3</v>
      </c>
      <c r="W4" s="22">
        <v>19</v>
      </c>
      <c r="X4" s="22">
        <v>3</v>
      </c>
      <c r="Y4" s="22">
        <v>16</v>
      </c>
      <c r="Z4" s="22" t="s">
        <v>87</v>
      </c>
    </row>
    <row r="5" spans="1:26">
      <c r="A5" s="22">
        <v>4</v>
      </c>
      <c r="B5" s="22">
        <v>28</v>
      </c>
      <c r="C5" s="22">
        <v>9</v>
      </c>
      <c r="D5" s="22">
        <v>19</v>
      </c>
      <c r="E5" s="22" t="s">
        <v>87</v>
      </c>
      <c r="H5" s="22">
        <v>4</v>
      </c>
      <c r="I5" s="22">
        <v>24</v>
      </c>
      <c r="J5" s="22">
        <v>9</v>
      </c>
      <c r="K5" s="22">
        <v>12</v>
      </c>
      <c r="L5" s="22" t="s">
        <v>87</v>
      </c>
      <c r="O5" s="22">
        <v>4</v>
      </c>
      <c r="P5" s="22">
        <v>16</v>
      </c>
      <c r="Q5" s="22">
        <v>4</v>
      </c>
      <c r="R5" s="22">
        <v>19</v>
      </c>
      <c r="S5" s="22" t="s">
        <v>87</v>
      </c>
      <c r="T5" s="22">
        <v>14</v>
      </c>
      <c r="V5" s="22">
        <v>4</v>
      </c>
      <c r="W5" s="22">
        <v>18</v>
      </c>
      <c r="X5" s="22">
        <v>9</v>
      </c>
      <c r="Y5" s="22">
        <v>23</v>
      </c>
      <c r="Z5" s="22" t="s">
        <v>87</v>
      </c>
    </row>
    <row r="6" spans="1:26">
      <c r="A6" s="22">
        <v>5</v>
      </c>
      <c r="B6" s="22">
        <v>22</v>
      </c>
      <c r="C6" s="22">
        <v>4</v>
      </c>
      <c r="D6" s="22">
        <v>16</v>
      </c>
      <c r="E6" s="22" t="s">
        <v>89</v>
      </c>
      <c r="H6" s="22">
        <v>5</v>
      </c>
      <c r="I6" s="22">
        <v>20</v>
      </c>
      <c r="J6" s="22">
        <v>6</v>
      </c>
      <c r="K6" s="22">
        <v>10</v>
      </c>
      <c r="L6" s="22" t="s">
        <v>87</v>
      </c>
      <c r="O6" s="22">
        <v>5</v>
      </c>
      <c r="P6" s="22">
        <v>26</v>
      </c>
      <c r="Q6" s="22">
        <v>9</v>
      </c>
      <c r="R6" s="22">
        <v>22</v>
      </c>
      <c r="S6" s="22" t="s">
        <v>87</v>
      </c>
      <c r="T6" s="22">
        <v>16</v>
      </c>
      <c r="V6" s="22">
        <v>5</v>
      </c>
      <c r="W6" s="22">
        <v>16</v>
      </c>
      <c r="X6" s="22">
        <v>4</v>
      </c>
      <c r="Y6" s="22">
        <v>24</v>
      </c>
      <c r="Z6" s="22" t="s">
        <v>87</v>
      </c>
    </row>
    <row r="7" spans="1:26">
      <c r="A7" s="22">
        <v>6</v>
      </c>
      <c r="B7" s="22">
        <v>14</v>
      </c>
      <c r="C7" s="22">
        <v>8</v>
      </c>
      <c r="D7" s="22">
        <v>17</v>
      </c>
      <c r="E7" s="22" t="s">
        <v>89</v>
      </c>
      <c r="H7" s="22">
        <v>6</v>
      </c>
      <c r="I7" s="22">
        <v>22</v>
      </c>
      <c r="J7" s="22">
        <v>10</v>
      </c>
      <c r="K7" s="22">
        <v>8</v>
      </c>
      <c r="L7" s="22" t="s">
        <v>87</v>
      </c>
      <c r="O7" s="22">
        <v>6</v>
      </c>
      <c r="P7" s="22">
        <v>19</v>
      </c>
      <c r="Q7" s="22">
        <v>4</v>
      </c>
      <c r="R7" s="22">
        <v>22</v>
      </c>
      <c r="S7" s="22" t="s">
        <v>87</v>
      </c>
      <c r="T7" s="22">
        <v>28</v>
      </c>
      <c r="V7" s="22">
        <v>6</v>
      </c>
      <c r="W7" s="22">
        <v>29</v>
      </c>
      <c r="X7" s="22">
        <v>3</v>
      </c>
      <c r="Y7" s="22">
        <v>25</v>
      </c>
      <c r="Z7" s="22" t="s">
        <v>87</v>
      </c>
    </row>
    <row r="8" spans="1:26">
      <c r="A8" s="22">
        <v>7</v>
      </c>
      <c r="B8" s="22">
        <v>14</v>
      </c>
      <c r="C8" s="22">
        <v>6</v>
      </c>
      <c r="D8" s="22">
        <v>12</v>
      </c>
      <c r="E8" s="22" t="s">
        <v>89</v>
      </c>
      <c r="H8" s="22">
        <v>7</v>
      </c>
      <c r="I8" s="22">
        <v>20</v>
      </c>
      <c r="J8" s="22">
        <v>4</v>
      </c>
      <c r="K8" s="22">
        <v>20</v>
      </c>
      <c r="L8" s="22" t="s">
        <v>87</v>
      </c>
      <c r="O8" s="22">
        <v>7</v>
      </c>
      <c r="P8" s="22">
        <v>25</v>
      </c>
      <c r="Q8" s="22">
        <v>3</v>
      </c>
      <c r="R8" s="22">
        <v>20</v>
      </c>
      <c r="S8" s="22" t="s">
        <v>87</v>
      </c>
      <c r="T8" s="22">
        <v>30</v>
      </c>
      <c r="V8" s="22">
        <v>7</v>
      </c>
      <c r="W8" s="22">
        <v>20</v>
      </c>
      <c r="X8" s="22">
        <v>3</v>
      </c>
      <c r="Y8" s="22">
        <v>22</v>
      </c>
      <c r="Z8" s="22" t="s">
        <v>87</v>
      </c>
    </row>
    <row r="9" spans="1:26">
      <c r="A9" s="22">
        <v>8</v>
      </c>
      <c r="B9" s="22">
        <v>19</v>
      </c>
      <c r="C9" s="22">
        <v>6</v>
      </c>
      <c r="D9" s="22">
        <v>14</v>
      </c>
      <c r="E9" s="22" t="s">
        <v>89</v>
      </c>
      <c r="H9" s="22">
        <v>8</v>
      </c>
      <c r="I9" s="22">
        <v>25</v>
      </c>
      <c r="J9" s="22">
        <v>3</v>
      </c>
      <c r="K9" s="22">
        <v>6</v>
      </c>
      <c r="L9" s="22" t="s">
        <v>87</v>
      </c>
      <c r="O9" s="22">
        <v>8</v>
      </c>
      <c r="P9" s="22">
        <v>30</v>
      </c>
      <c r="Q9" s="22">
        <v>10</v>
      </c>
      <c r="R9" s="22">
        <v>22</v>
      </c>
      <c r="S9" s="22" t="s">
        <v>87</v>
      </c>
      <c r="T9" s="22">
        <v>32</v>
      </c>
      <c r="V9" s="22">
        <v>8</v>
      </c>
      <c r="W9" s="22">
        <v>23</v>
      </c>
      <c r="X9" s="22">
        <v>6</v>
      </c>
      <c r="Y9" s="22">
        <v>17</v>
      </c>
      <c r="Z9" s="22" t="s">
        <v>87</v>
      </c>
    </row>
    <row r="10" spans="1:26">
      <c r="A10" s="22">
        <v>9</v>
      </c>
      <c r="B10" s="22">
        <v>2</v>
      </c>
      <c r="C10" s="22">
        <v>7</v>
      </c>
      <c r="D10" s="22">
        <v>22</v>
      </c>
      <c r="E10" s="22" t="s">
        <v>88</v>
      </c>
      <c r="H10" s="22">
        <v>9</v>
      </c>
      <c r="I10" s="22">
        <v>26</v>
      </c>
      <c r="J10" s="22">
        <v>4</v>
      </c>
      <c r="K10" s="22">
        <v>9</v>
      </c>
      <c r="L10" s="22" t="s">
        <v>87</v>
      </c>
      <c r="O10" s="22">
        <v>9</v>
      </c>
      <c r="P10" s="22">
        <v>28</v>
      </c>
      <c r="Q10" s="22">
        <v>9</v>
      </c>
      <c r="R10" s="22">
        <v>16</v>
      </c>
      <c r="S10" s="22" t="s">
        <v>87</v>
      </c>
      <c r="T10" s="22">
        <v>35</v>
      </c>
      <c r="V10" s="22">
        <v>9</v>
      </c>
      <c r="W10" s="22">
        <v>13</v>
      </c>
      <c r="X10" s="22">
        <v>4</v>
      </c>
      <c r="Y10" s="22">
        <v>21</v>
      </c>
      <c r="Z10" s="22" t="s">
        <v>87</v>
      </c>
    </row>
    <row r="11" spans="1:26">
      <c r="A11" s="22">
        <v>10</v>
      </c>
      <c r="B11" s="22">
        <v>1</v>
      </c>
      <c r="C11" s="22">
        <v>8</v>
      </c>
      <c r="D11" s="22">
        <v>14</v>
      </c>
      <c r="E11" s="22" t="s">
        <v>88</v>
      </c>
      <c r="H11" s="22">
        <v>10</v>
      </c>
      <c r="I11" s="22">
        <v>24</v>
      </c>
      <c r="J11" s="22">
        <v>5</v>
      </c>
      <c r="K11" s="22">
        <v>17</v>
      </c>
      <c r="L11" s="22" t="s">
        <v>87</v>
      </c>
      <c r="O11" s="22">
        <v>10</v>
      </c>
      <c r="P11" s="22">
        <v>29</v>
      </c>
      <c r="Q11" s="22">
        <v>6</v>
      </c>
      <c r="R11" s="22">
        <v>23</v>
      </c>
      <c r="S11" s="22" t="s">
        <v>87</v>
      </c>
      <c r="T11" s="22">
        <v>40</v>
      </c>
      <c r="V11" s="22">
        <v>10</v>
      </c>
      <c r="W11" s="22">
        <v>20</v>
      </c>
      <c r="X11" s="22">
        <v>4</v>
      </c>
      <c r="Y11" s="22">
        <v>13</v>
      </c>
      <c r="Z11" s="22" t="s">
        <v>87</v>
      </c>
    </row>
    <row r="12" spans="1:26">
      <c r="A12" s="22">
        <v>11</v>
      </c>
      <c r="B12" s="22">
        <v>2</v>
      </c>
      <c r="C12" s="22">
        <v>5</v>
      </c>
      <c r="D12" s="22">
        <v>21</v>
      </c>
      <c r="E12" s="22" t="s">
        <v>88</v>
      </c>
      <c r="H12" s="22">
        <v>11</v>
      </c>
      <c r="I12" s="22">
        <v>23</v>
      </c>
      <c r="J12" s="22">
        <v>2</v>
      </c>
      <c r="K12" s="22">
        <v>19</v>
      </c>
      <c r="L12" s="22" t="s">
        <v>87</v>
      </c>
      <c r="O12" s="22">
        <v>11</v>
      </c>
      <c r="P12" s="22">
        <v>12</v>
      </c>
      <c r="Q12" s="22">
        <v>3</v>
      </c>
      <c r="R12" s="22">
        <v>5</v>
      </c>
      <c r="S12" s="22" t="s">
        <v>89</v>
      </c>
      <c r="T12" s="22">
        <v>5</v>
      </c>
      <c r="V12" s="22">
        <v>11</v>
      </c>
      <c r="W12" s="22">
        <v>27</v>
      </c>
      <c r="X12" s="22">
        <v>3</v>
      </c>
      <c r="Y12" s="22">
        <v>14</v>
      </c>
      <c r="Z12" s="22" t="s">
        <v>87</v>
      </c>
    </row>
    <row r="13" spans="1:26">
      <c r="A13" s="22">
        <v>12</v>
      </c>
      <c r="B13" s="22">
        <v>6</v>
      </c>
      <c r="C13" s="22">
        <v>5</v>
      </c>
      <c r="D13" s="22">
        <v>21</v>
      </c>
      <c r="E13" s="22" t="s">
        <v>88</v>
      </c>
      <c r="H13" s="22">
        <v>12</v>
      </c>
      <c r="I13" s="22">
        <v>23</v>
      </c>
      <c r="J13" s="22">
        <v>9</v>
      </c>
      <c r="K13" s="22">
        <v>17</v>
      </c>
      <c r="L13" s="22" t="s">
        <v>87</v>
      </c>
      <c r="O13" s="22">
        <v>12</v>
      </c>
      <c r="P13" s="22">
        <v>28</v>
      </c>
      <c r="Q13" s="22">
        <v>8</v>
      </c>
      <c r="R13" s="22">
        <v>4</v>
      </c>
      <c r="S13" s="22" t="s">
        <v>89</v>
      </c>
      <c r="T13" s="22">
        <v>6</v>
      </c>
      <c r="V13" s="22">
        <v>12</v>
      </c>
      <c r="W13" s="22">
        <v>22</v>
      </c>
      <c r="X13" s="22">
        <v>10</v>
      </c>
      <c r="Y13" s="22">
        <v>11</v>
      </c>
      <c r="Z13" s="22" t="s">
        <v>87</v>
      </c>
    </row>
    <row r="14" spans="1:26">
      <c r="A14" s="22">
        <v>13</v>
      </c>
      <c r="B14" s="22">
        <v>3</v>
      </c>
      <c r="C14" s="22">
        <v>3</v>
      </c>
      <c r="D14" s="22">
        <v>12</v>
      </c>
      <c r="E14" s="22" t="s">
        <v>88</v>
      </c>
      <c r="H14" s="22">
        <v>13</v>
      </c>
      <c r="I14" s="22">
        <v>13</v>
      </c>
      <c r="J14" s="22">
        <v>10</v>
      </c>
      <c r="K14" s="22">
        <v>20</v>
      </c>
      <c r="L14" s="22" t="s">
        <v>87</v>
      </c>
      <c r="O14" s="22">
        <v>13</v>
      </c>
      <c r="P14" s="22">
        <v>18</v>
      </c>
      <c r="Q14" s="22">
        <v>5</v>
      </c>
      <c r="R14" s="22">
        <v>4</v>
      </c>
      <c r="S14" s="22" t="s">
        <v>89</v>
      </c>
      <c r="T14" s="22">
        <v>17</v>
      </c>
      <c r="V14" s="22">
        <v>13</v>
      </c>
      <c r="W14" s="22">
        <v>20</v>
      </c>
      <c r="X14" s="22">
        <v>5</v>
      </c>
      <c r="Y14" s="22">
        <v>14</v>
      </c>
      <c r="Z14" s="22" t="s">
        <v>87</v>
      </c>
    </row>
    <row r="15" spans="1:26">
      <c r="A15" s="22">
        <v>14</v>
      </c>
      <c r="B15" s="22">
        <v>7</v>
      </c>
      <c r="C15" s="22">
        <v>5</v>
      </c>
      <c r="D15" s="22">
        <v>21</v>
      </c>
      <c r="E15" s="22" t="s">
        <v>88</v>
      </c>
      <c r="H15" s="22">
        <v>14</v>
      </c>
      <c r="I15" s="22">
        <v>5</v>
      </c>
      <c r="J15" s="22">
        <v>6</v>
      </c>
      <c r="K15" s="22">
        <v>21</v>
      </c>
      <c r="L15" s="22" t="s">
        <v>89</v>
      </c>
      <c r="O15" s="22">
        <v>14</v>
      </c>
      <c r="P15" s="22">
        <v>11</v>
      </c>
      <c r="Q15" s="22">
        <v>9</v>
      </c>
      <c r="R15" s="22">
        <v>4</v>
      </c>
      <c r="S15" s="22" t="s">
        <v>89</v>
      </c>
      <c r="T15" s="22">
        <v>21</v>
      </c>
      <c r="V15" s="22">
        <v>14</v>
      </c>
      <c r="W15" s="22">
        <v>20</v>
      </c>
      <c r="X15" s="22">
        <v>10</v>
      </c>
      <c r="Y15" s="22">
        <v>10</v>
      </c>
      <c r="Z15" s="22" t="s">
        <v>87</v>
      </c>
    </row>
    <row r="16" spans="1:26">
      <c r="A16" s="22">
        <v>15</v>
      </c>
      <c r="B16" s="22">
        <v>6</v>
      </c>
      <c r="C16" s="22">
        <v>3</v>
      </c>
      <c r="D16" s="22">
        <v>14</v>
      </c>
      <c r="E16" s="22" t="s">
        <v>88</v>
      </c>
      <c r="H16" s="22">
        <v>15</v>
      </c>
      <c r="I16" s="22">
        <v>14</v>
      </c>
      <c r="J16" s="22">
        <v>5</v>
      </c>
      <c r="K16" s="22">
        <v>5</v>
      </c>
      <c r="L16" s="22" t="s">
        <v>89</v>
      </c>
      <c r="O16" s="22">
        <v>15</v>
      </c>
      <c r="P16" s="22">
        <v>29</v>
      </c>
      <c r="Q16" s="22">
        <v>3</v>
      </c>
      <c r="R16" s="22">
        <v>10</v>
      </c>
      <c r="S16" s="22" t="s">
        <v>89</v>
      </c>
      <c r="T16" s="22">
        <v>22</v>
      </c>
      <c r="V16" s="22">
        <v>15</v>
      </c>
      <c r="W16" s="22">
        <v>26</v>
      </c>
      <c r="X16" s="22">
        <v>6</v>
      </c>
      <c r="Y16" s="22">
        <v>22</v>
      </c>
      <c r="Z16" s="22" t="s">
        <v>87</v>
      </c>
    </row>
    <row r="17" spans="1:26">
      <c r="A17" s="22">
        <v>16</v>
      </c>
      <c r="B17" s="22">
        <v>3</v>
      </c>
      <c r="C17" s="22">
        <v>3</v>
      </c>
      <c r="D17" s="22">
        <v>15</v>
      </c>
      <c r="E17" s="22" t="s">
        <v>88</v>
      </c>
      <c r="H17" s="22">
        <v>16</v>
      </c>
      <c r="I17" s="22">
        <v>11</v>
      </c>
      <c r="J17" s="22">
        <v>5</v>
      </c>
      <c r="K17" s="22">
        <v>5</v>
      </c>
      <c r="L17" s="22" t="s">
        <v>89</v>
      </c>
      <c r="O17" s="22">
        <v>16</v>
      </c>
      <c r="P17" s="22">
        <v>22</v>
      </c>
      <c r="Q17" s="22">
        <v>8</v>
      </c>
      <c r="R17" s="22">
        <v>3</v>
      </c>
      <c r="S17" s="22" t="s">
        <v>89</v>
      </c>
      <c r="T17" s="22">
        <v>33</v>
      </c>
      <c r="V17" s="22">
        <v>16</v>
      </c>
      <c r="W17" s="22">
        <v>24</v>
      </c>
      <c r="X17" s="22">
        <v>3</v>
      </c>
      <c r="Y17" s="22">
        <v>15</v>
      </c>
      <c r="Z17" s="22" t="s">
        <v>87</v>
      </c>
    </row>
    <row r="18" spans="1:26">
      <c r="A18" s="22">
        <v>17</v>
      </c>
      <c r="B18" s="22">
        <v>3</v>
      </c>
      <c r="C18" s="22">
        <v>4</v>
      </c>
      <c r="D18" s="22">
        <v>11</v>
      </c>
      <c r="E18" s="22" t="s">
        <v>88</v>
      </c>
      <c r="H18" s="22">
        <v>17</v>
      </c>
      <c r="I18" s="22">
        <v>11</v>
      </c>
      <c r="J18" s="22">
        <v>4</v>
      </c>
      <c r="K18" s="22">
        <v>6</v>
      </c>
      <c r="L18" s="22" t="s">
        <v>89</v>
      </c>
      <c r="O18" s="22">
        <v>17</v>
      </c>
      <c r="P18" s="22">
        <v>29</v>
      </c>
      <c r="Q18" s="22">
        <v>1</v>
      </c>
      <c r="R18" s="22">
        <v>2</v>
      </c>
      <c r="S18" s="22" t="s">
        <v>89</v>
      </c>
      <c r="T18" s="22">
        <v>34</v>
      </c>
      <c r="V18" s="22">
        <v>17</v>
      </c>
      <c r="W18" s="22">
        <v>9</v>
      </c>
      <c r="X18" s="22">
        <v>8</v>
      </c>
      <c r="Y18" s="22">
        <v>24</v>
      </c>
      <c r="Z18" s="22" t="s">
        <v>87</v>
      </c>
    </row>
    <row r="19" spans="1:26">
      <c r="A19" s="22">
        <v>18</v>
      </c>
      <c r="B19" s="22">
        <v>13</v>
      </c>
      <c r="C19" s="22">
        <v>2</v>
      </c>
      <c r="D19" s="22">
        <v>16</v>
      </c>
      <c r="E19" s="22" t="s">
        <v>88</v>
      </c>
      <c r="H19" s="22">
        <v>18</v>
      </c>
      <c r="I19" s="22">
        <v>15</v>
      </c>
      <c r="J19" s="22">
        <v>8</v>
      </c>
      <c r="K19" s="22">
        <v>7</v>
      </c>
      <c r="L19" s="22" t="s">
        <v>89</v>
      </c>
      <c r="O19" s="22">
        <v>18</v>
      </c>
      <c r="P19" s="22">
        <v>21</v>
      </c>
      <c r="Q19" s="22">
        <v>1</v>
      </c>
      <c r="R19" s="22">
        <v>3</v>
      </c>
      <c r="S19" s="22" t="s">
        <v>89</v>
      </c>
      <c r="T19" s="22">
        <v>38</v>
      </c>
      <c r="V19" s="22">
        <v>18</v>
      </c>
      <c r="W19" s="22">
        <v>17</v>
      </c>
      <c r="X19" s="22">
        <v>4</v>
      </c>
      <c r="Y19" s="22">
        <v>17</v>
      </c>
      <c r="Z19" s="22" t="s">
        <v>87</v>
      </c>
    </row>
    <row r="20" spans="1:26">
      <c r="A20" s="22">
        <v>19</v>
      </c>
      <c r="B20" s="22">
        <v>18</v>
      </c>
      <c r="C20" s="22">
        <v>2</v>
      </c>
      <c r="D20" s="22">
        <v>18</v>
      </c>
      <c r="E20" s="22" t="s">
        <v>88</v>
      </c>
      <c r="H20" s="22">
        <v>19</v>
      </c>
      <c r="I20" s="22">
        <v>11</v>
      </c>
      <c r="J20" s="22">
        <v>6</v>
      </c>
      <c r="K20" s="22">
        <v>11</v>
      </c>
      <c r="L20" s="22" t="s">
        <v>89</v>
      </c>
      <c r="O20" s="22">
        <v>19</v>
      </c>
      <c r="P20" s="22">
        <v>6</v>
      </c>
      <c r="Q20" s="22">
        <v>7</v>
      </c>
      <c r="R20" s="22">
        <v>23</v>
      </c>
      <c r="S20" s="22" t="s">
        <v>88</v>
      </c>
      <c r="T20" s="22">
        <v>1</v>
      </c>
      <c r="V20" s="22">
        <v>19</v>
      </c>
      <c r="W20" s="22">
        <v>27</v>
      </c>
      <c r="X20" s="22">
        <v>3</v>
      </c>
      <c r="Y20" s="22">
        <v>13</v>
      </c>
      <c r="Z20" s="22" t="s">
        <v>87</v>
      </c>
    </row>
    <row r="21" spans="1:26">
      <c r="A21" s="22">
        <v>20</v>
      </c>
      <c r="B21" s="22">
        <v>12</v>
      </c>
      <c r="C21" s="22">
        <v>4</v>
      </c>
      <c r="D21" s="22">
        <v>24</v>
      </c>
      <c r="E21" s="22" t="s">
        <v>88</v>
      </c>
      <c r="H21" s="22">
        <v>20</v>
      </c>
      <c r="I21" s="22">
        <v>8</v>
      </c>
      <c r="J21" s="22">
        <v>8</v>
      </c>
      <c r="K21" s="22">
        <v>3</v>
      </c>
      <c r="L21" s="22" t="s">
        <v>89</v>
      </c>
      <c r="O21" s="22">
        <v>20</v>
      </c>
      <c r="P21" s="22">
        <v>3</v>
      </c>
      <c r="Q21" s="22">
        <v>4</v>
      </c>
      <c r="R21" s="22">
        <v>12</v>
      </c>
      <c r="S21" s="22" t="s">
        <v>88</v>
      </c>
      <c r="T21" s="22">
        <v>2</v>
      </c>
      <c r="V21" s="22">
        <v>20</v>
      </c>
      <c r="W21" s="22">
        <v>23</v>
      </c>
      <c r="X21" s="22">
        <v>8</v>
      </c>
      <c r="Y21" s="22">
        <v>10</v>
      </c>
      <c r="Z21" s="22" t="s">
        <v>87</v>
      </c>
    </row>
    <row r="22" spans="1:26">
      <c r="E22" s="117" t="s">
        <v>98</v>
      </c>
      <c r="H22" s="22">
        <v>21</v>
      </c>
      <c r="I22" s="22">
        <v>13</v>
      </c>
      <c r="J22" s="22">
        <v>7</v>
      </c>
      <c r="K22" s="22">
        <v>7</v>
      </c>
      <c r="L22" s="22" t="s">
        <v>89</v>
      </c>
      <c r="O22" s="22">
        <v>21</v>
      </c>
      <c r="P22" s="22">
        <v>3</v>
      </c>
      <c r="Q22" s="22">
        <v>5</v>
      </c>
      <c r="R22" s="22">
        <v>8</v>
      </c>
      <c r="S22" s="22" t="s">
        <v>88</v>
      </c>
      <c r="T22" s="22">
        <v>24</v>
      </c>
      <c r="V22" s="22">
        <v>21</v>
      </c>
      <c r="W22" s="22">
        <v>28</v>
      </c>
      <c r="X22" s="22">
        <v>3</v>
      </c>
      <c r="Y22" s="22">
        <v>11</v>
      </c>
      <c r="Z22" s="22" t="s">
        <v>87</v>
      </c>
    </row>
    <row r="23" spans="1:26">
      <c r="H23" s="22">
        <v>22</v>
      </c>
      <c r="I23" s="22">
        <v>5</v>
      </c>
      <c r="J23" s="22">
        <v>5</v>
      </c>
      <c r="K23" s="22">
        <v>19</v>
      </c>
      <c r="L23" s="22" t="s">
        <v>89</v>
      </c>
      <c r="O23" s="22">
        <v>22</v>
      </c>
      <c r="P23" s="22">
        <v>14</v>
      </c>
      <c r="Q23" s="22">
        <v>3</v>
      </c>
      <c r="R23" s="22">
        <v>16</v>
      </c>
      <c r="S23" s="22" t="s">
        <v>88</v>
      </c>
      <c r="T23" s="22">
        <v>8</v>
      </c>
      <c r="V23" s="22">
        <v>22</v>
      </c>
      <c r="W23" s="22">
        <v>28</v>
      </c>
      <c r="X23" s="22">
        <v>6</v>
      </c>
      <c r="Y23" s="22">
        <v>9</v>
      </c>
      <c r="Z23" s="22" t="s">
        <v>87</v>
      </c>
    </row>
    <row r="24" spans="1:26">
      <c r="H24" s="22">
        <v>23</v>
      </c>
      <c r="I24" s="22">
        <v>3</v>
      </c>
      <c r="J24" s="22">
        <v>6</v>
      </c>
      <c r="K24" s="22">
        <v>21</v>
      </c>
      <c r="L24" s="22" t="s">
        <v>89</v>
      </c>
      <c r="O24" s="22">
        <v>23</v>
      </c>
      <c r="P24" s="22">
        <v>2</v>
      </c>
      <c r="Q24" s="22">
        <v>7</v>
      </c>
      <c r="R24" s="22">
        <v>19</v>
      </c>
      <c r="S24" s="22" t="s">
        <v>88</v>
      </c>
      <c r="T24" s="22">
        <v>9</v>
      </c>
      <c r="V24" s="22">
        <v>23</v>
      </c>
      <c r="W24" s="22">
        <v>20</v>
      </c>
      <c r="X24" s="22">
        <v>8</v>
      </c>
      <c r="Y24" s="22">
        <v>12</v>
      </c>
      <c r="Z24" s="22" t="s">
        <v>87</v>
      </c>
    </row>
    <row r="25" spans="1:26">
      <c r="H25" s="22">
        <v>24</v>
      </c>
      <c r="I25" s="22">
        <v>7</v>
      </c>
      <c r="J25" s="22">
        <v>2</v>
      </c>
      <c r="K25" s="22">
        <v>21</v>
      </c>
      <c r="L25" s="22" t="s">
        <v>89</v>
      </c>
      <c r="O25" s="22">
        <v>24</v>
      </c>
      <c r="P25" s="22">
        <v>3</v>
      </c>
      <c r="Q25" s="22">
        <v>5</v>
      </c>
      <c r="R25" s="22">
        <v>6</v>
      </c>
      <c r="S25" s="22" t="s">
        <v>88</v>
      </c>
      <c r="T25" s="22">
        <v>4</v>
      </c>
      <c r="V25" s="22">
        <v>24</v>
      </c>
      <c r="W25" s="22">
        <v>22</v>
      </c>
      <c r="X25" s="22">
        <v>8</v>
      </c>
      <c r="Y25" s="22">
        <v>12</v>
      </c>
      <c r="Z25" s="22" t="s">
        <v>87</v>
      </c>
    </row>
    <row r="26" spans="1:26">
      <c r="H26" s="22">
        <v>25</v>
      </c>
      <c r="I26" s="22">
        <v>9</v>
      </c>
      <c r="J26" s="22">
        <v>3</v>
      </c>
      <c r="K26" s="22">
        <v>9</v>
      </c>
      <c r="L26" s="22" t="s">
        <v>89</v>
      </c>
      <c r="O26" s="22">
        <v>25</v>
      </c>
      <c r="P26" s="22">
        <v>1</v>
      </c>
      <c r="Q26" s="22">
        <v>10</v>
      </c>
      <c r="R26" s="22">
        <v>8</v>
      </c>
      <c r="S26" s="22" t="s">
        <v>88</v>
      </c>
      <c r="T26" s="22">
        <v>12</v>
      </c>
      <c r="V26" s="22">
        <v>25</v>
      </c>
      <c r="W26" s="22">
        <v>24</v>
      </c>
      <c r="X26" s="22">
        <v>8</v>
      </c>
      <c r="Y26" s="22">
        <v>2</v>
      </c>
      <c r="Z26" s="22" t="s">
        <v>89</v>
      </c>
    </row>
    <row r="27" spans="1:26">
      <c r="H27" s="22">
        <v>26</v>
      </c>
      <c r="I27" s="22">
        <v>1</v>
      </c>
      <c r="J27" s="22">
        <v>9</v>
      </c>
      <c r="K27" s="22">
        <v>1</v>
      </c>
      <c r="L27" s="22" t="s">
        <v>88</v>
      </c>
      <c r="O27" s="22">
        <v>26</v>
      </c>
      <c r="P27" s="22">
        <v>2</v>
      </c>
      <c r="Q27" s="22">
        <v>5</v>
      </c>
      <c r="R27" s="22">
        <v>21</v>
      </c>
      <c r="S27" s="22" t="s">
        <v>88</v>
      </c>
      <c r="T27" s="22">
        <v>13</v>
      </c>
      <c r="V27" s="22">
        <v>26</v>
      </c>
      <c r="W27" s="22">
        <v>17</v>
      </c>
      <c r="X27" s="22">
        <v>4</v>
      </c>
      <c r="Y27" s="22">
        <v>9</v>
      </c>
      <c r="Z27" s="22" t="s">
        <v>89</v>
      </c>
    </row>
    <row r="28" spans="1:26">
      <c r="H28" s="22">
        <v>27</v>
      </c>
      <c r="I28" s="22">
        <v>6</v>
      </c>
      <c r="J28" s="22">
        <v>6</v>
      </c>
      <c r="K28" s="22">
        <v>2</v>
      </c>
      <c r="L28" s="22" t="s">
        <v>88</v>
      </c>
      <c r="O28" s="22">
        <v>27</v>
      </c>
      <c r="P28" s="22">
        <v>6</v>
      </c>
      <c r="Q28" s="22">
        <v>4</v>
      </c>
      <c r="R28" s="22">
        <v>22</v>
      </c>
      <c r="S28" s="22" t="s">
        <v>88</v>
      </c>
      <c r="T28" s="22">
        <v>15</v>
      </c>
      <c r="V28" s="22">
        <v>27</v>
      </c>
      <c r="W28" s="22">
        <v>15</v>
      </c>
      <c r="X28" s="22">
        <v>7</v>
      </c>
      <c r="Y28" s="22">
        <v>13</v>
      </c>
      <c r="Z28" s="22" t="s">
        <v>89</v>
      </c>
    </row>
    <row r="29" spans="1:26">
      <c r="H29" s="22">
        <v>28</v>
      </c>
      <c r="I29" s="22">
        <v>4</v>
      </c>
      <c r="J29" s="22">
        <v>2</v>
      </c>
      <c r="K29" s="22">
        <v>8</v>
      </c>
      <c r="L29" s="22" t="s">
        <v>88</v>
      </c>
      <c r="O29" s="22">
        <v>28</v>
      </c>
      <c r="P29" s="22">
        <v>3</v>
      </c>
      <c r="Q29" s="22">
        <v>6</v>
      </c>
      <c r="R29" s="22">
        <v>11</v>
      </c>
      <c r="S29" s="22" t="s">
        <v>88</v>
      </c>
      <c r="T29" s="22">
        <v>18</v>
      </c>
      <c r="V29" s="22">
        <v>28</v>
      </c>
      <c r="W29" s="22">
        <v>20</v>
      </c>
      <c r="X29" s="22">
        <v>8</v>
      </c>
      <c r="Y29" s="22">
        <v>8</v>
      </c>
      <c r="Z29" s="22" t="s">
        <v>89</v>
      </c>
    </row>
    <row r="30" spans="1:26">
      <c r="H30" s="22">
        <v>29</v>
      </c>
      <c r="I30" s="22">
        <v>2</v>
      </c>
      <c r="J30" s="22">
        <v>7</v>
      </c>
      <c r="K30" s="22">
        <v>8</v>
      </c>
      <c r="L30" s="22" t="s">
        <v>88</v>
      </c>
      <c r="O30" s="22">
        <v>29</v>
      </c>
      <c r="P30" s="22">
        <v>4</v>
      </c>
      <c r="Q30" s="22">
        <v>10</v>
      </c>
      <c r="R30" s="22">
        <v>12</v>
      </c>
      <c r="S30" s="22" t="s">
        <v>88</v>
      </c>
      <c r="T30" s="22">
        <v>19</v>
      </c>
      <c r="V30" s="22">
        <v>29</v>
      </c>
      <c r="W30" s="22">
        <v>21</v>
      </c>
      <c r="X30" s="22">
        <v>6</v>
      </c>
      <c r="Y30" s="22">
        <v>6</v>
      </c>
      <c r="Z30" s="22" t="s">
        <v>89</v>
      </c>
    </row>
    <row r="31" spans="1:26">
      <c r="H31" s="22">
        <v>30</v>
      </c>
      <c r="I31" s="22">
        <v>3</v>
      </c>
      <c r="J31" s="22">
        <v>8</v>
      </c>
      <c r="K31" s="22">
        <v>5</v>
      </c>
      <c r="L31" s="22" t="s">
        <v>88</v>
      </c>
      <c r="O31" s="22">
        <v>30</v>
      </c>
      <c r="P31" s="22">
        <v>2</v>
      </c>
      <c r="Q31" s="22">
        <v>7</v>
      </c>
      <c r="R31" s="22">
        <v>22</v>
      </c>
      <c r="S31" s="22" t="s">
        <v>88</v>
      </c>
      <c r="T31" s="22">
        <v>10</v>
      </c>
      <c r="V31" s="22">
        <v>30</v>
      </c>
      <c r="W31" s="22">
        <v>20</v>
      </c>
      <c r="X31" s="22">
        <v>9</v>
      </c>
      <c r="Y31" s="22">
        <v>3</v>
      </c>
      <c r="Z31" s="22" t="s">
        <v>89</v>
      </c>
    </row>
    <row r="32" spans="1:26">
      <c r="L32" s="117" t="s">
        <v>99</v>
      </c>
      <c r="O32" s="22">
        <v>31</v>
      </c>
      <c r="P32" s="22">
        <v>5</v>
      </c>
      <c r="Q32" s="22">
        <v>7</v>
      </c>
      <c r="R32" s="22">
        <v>17</v>
      </c>
      <c r="S32" s="22" t="s">
        <v>88</v>
      </c>
      <c r="T32" s="22">
        <v>23</v>
      </c>
      <c r="V32" s="22">
        <v>31</v>
      </c>
      <c r="W32" s="22">
        <v>15</v>
      </c>
      <c r="X32" s="22">
        <v>4</v>
      </c>
      <c r="Y32" s="22">
        <v>18</v>
      </c>
      <c r="Z32" s="22" t="s">
        <v>89</v>
      </c>
    </row>
    <row r="33" spans="15:26">
      <c r="O33" s="22">
        <v>32</v>
      </c>
      <c r="P33" s="22">
        <v>2</v>
      </c>
      <c r="Q33" s="22">
        <v>5</v>
      </c>
      <c r="R33" s="22">
        <v>13</v>
      </c>
      <c r="S33" s="22" t="s">
        <v>88</v>
      </c>
      <c r="T33" s="22">
        <v>20</v>
      </c>
      <c r="V33" s="22">
        <v>32</v>
      </c>
      <c r="W33" s="22">
        <v>12</v>
      </c>
      <c r="X33" s="22">
        <v>8</v>
      </c>
      <c r="Y33" s="22">
        <v>13</v>
      </c>
      <c r="Z33" s="22" t="s">
        <v>89</v>
      </c>
    </row>
    <row r="34" spans="15:26">
      <c r="O34" s="22">
        <v>33</v>
      </c>
      <c r="P34" s="22">
        <v>7</v>
      </c>
      <c r="Q34" s="22">
        <v>9</v>
      </c>
      <c r="R34" s="22">
        <v>15</v>
      </c>
      <c r="S34" s="22" t="s">
        <v>88</v>
      </c>
      <c r="T34" s="22">
        <v>25</v>
      </c>
      <c r="V34" s="22">
        <v>33</v>
      </c>
      <c r="W34" s="22">
        <v>14</v>
      </c>
      <c r="X34" s="22">
        <v>8</v>
      </c>
      <c r="Y34" s="22">
        <v>12</v>
      </c>
      <c r="Z34" s="22" t="s">
        <v>89</v>
      </c>
    </row>
    <row r="35" spans="15:26">
      <c r="O35" s="22">
        <v>34</v>
      </c>
      <c r="P35" s="22">
        <v>8</v>
      </c>
      <c r="Q35" s="22">
        <v>4</v>
      </c>
      <c r="R35" s="22">
        <v>24</v>
      </c>
      <c r="S35" s="22" t="s">
        <v>88</v>
      </c>
      <c r="T35" s="22">
        <v>26</v>
      </c>
      <c r="V35" s="22">
        <v>34</v>
      </c>
      <c r="W35" s="22">
        <v>10</v>
      </c>
      <c r="X35" s="22">
        <v>5</v>
      </c>
      <c r="Y35" s="22">
        <v>13</v>
      </c>
      <c r="Z35" s="22" t="s">
        <v>89</v>
      </c>
    </row>
    <row r="36" spans="15:26">
      <c r="O36" s="22">
        <v>35</v>
      </c>
      <c r="P36" s="22">
        <v>8</v>
      </c>
      <c r="Q36" s="22">
        <v>8</v>
      </c>
      <c r="R36" s="22">
        <v>20</v>
      </c>
      <c r="S36" s="22" t="s">
        <v>88</v>
      </c>
      <c r="T36" s="22">
        <v>27</v>
      </c>
      <c r="V36" s="22">
        <v>35</v>
      </c>
      <c r="W36" s="22">
        <v>8</v>
      </c>
      <c r="X36" s="22">
        <v>8</v>
      </c>
      <c r="Y36" s="22">
        <v>11</v>
      </c>
      <c r="Z36" s="22" t="s">
        <v>89</v>
      </c>
    </row>
    <row r="37" spans="15:26">
      <c r="O37" s="22">
        <v>36</v>
      </c>
      <c r="P37" s="22">
        <v>11</v>
      </c>
      <c r="Q37" s="22">
        <v>4</v>
      </c>
      <c r="R37" s="22">
        <v>21</v>
      </c>
      <c r="S37" s="22" t="s">
        <v>88</v>
      </c>
      <c r="T37" s="22">
        <v>29</v>
      </c>
      <c r="V37" s="22">
        <v>36</v>
      </c>
      <c r="W37" s="22">
        <v>7</v>
      </c>
      <c r="X37" s="22">
        <v>9</v>
      </c>
      <c r="Y37" s="22">
        <v>16</v>
      </c>
      <c r="Z37" s="22" t="s">
        <v>89</v>
      </c>
    </row>
    <row r="38" spans="15:26">
      <c r="O38" s="22">
        <v>37</v>
      </c>
      <c r="P38" s="22">
        <v>9</v>
      </c>
      <c r="Q38" s="22">
        <v>6</v>
      </c>
      <c r="R38" s="22">
        <v>15</v>
      </c>
      <c r="S38" s="22" t="s">
        <v>88</v>
      </c>
      <c r="T38" s="22">
        <v>31</v>
      </c>
      <c r="V38" s="22">
        <v>37</v>
      </c>
      <c r="W38" s="22">
        <v>11</v>
      </c>
      <c r="X38" s="22">
        <v>8</v>
      </c>
      <c r="Y38" s="22">
        <v>17</v>
      </c>
      <c r="Z38" s="22" t="s">
        <v>89</v>
      </c>
    </row>
    <row r="39" spans="15:26">
      <c r="O39" s="22">
        <v>38</v>
      </c>
      <c r="P39" s="22">
        <v>6</v>
      </c>
      <c r="Q39" s="22">
        <v>2</v>
      </c>
      <c r="R39" s="22">
        <v>13</v>
      </c>
      <c r="S39" s="22" t="s">
        <v>88</v>
      </c>
      <c r="T39" s="22">
        <v>36</v>
      </c>
      <c r="V39" s="22">
        <v>38</v>
      </c>
      <c r="W39" s="22">
        <v>20</v>
      </c>
      <c r="X39" s="22">
        <v>10</v>
      </c>
      <c r="Y39" s="22">
        <v>2</v>
      </c>
      <c r="Z39" s="22" t="s">
        <v>89</v>
      </c>
    </row>
    <row r="40" spans="15:26">
      <c r="O40" s="22">
        <v>39</v>
      </c>
      <c r="P40" s="22">
        <v>10</v>
      </c>
      <c r="Q40" s="22">
        <v>5</v>
      </c>
      <c r="R40" s="22">
        <v>17</v>
      </c>
      <c r="S40" s="22" t="s">
        <v>88</v>
      </c>
      <c r="T40" s="22">
        <v>37</v>
      </c>
      <c r="V40" s="22">
        <v>39</v>
      </c>
      <c r="W40" s="22">
        <v>16</v>
      </c>
      <c r="X40" s="22">
        <v>5</v>
      </c>
      <c r="Y40" s="22">
        <v>1</v>
      </c>
      <c r="Z40" s="22" t="s">
        <v>88</v>
      </c>
    </row>
    <row r="41" spans="15:26">
      <c r="O41" s="22">
        <v>40</v>
      </c>
      <c r="P41" s="22">
        <v>2</v>
      </c>
      <c r="Q41" s="22">
        <v>10</v>
      </c>
      <c r="R41" s="22">
        <v>16</v>
      </c>
      <c r="S41" s="22" t="s">
        <v>88</v>
      </c>
      <c r="T41" s="22">
        <v>39</v>
      </c>
      <c r="V41" s="22">
        <v>40</v>
      </c>
      <c r="W41" s="22">
        <v>17</v>
      </c>
      <c r="X41" s="22">
        <v>5</v>
      </c>
      <c r="Y41" s="22">
        <v>4</v>
      </c>
      <c r="Z41" s="22" t="s">
        <v>88</v>
      </c>
    </row>
    <row r="42" spans="15:26">
      <c r="S42" s="117" t="s">
        <v>100</v>
      </c>
      <c r="T42" s="117"/>
      <c r="V42" s="22">
        <v>41</v>
      </c>
      <c r="W42" s="22">
        <v>3</v>
      </c>
      <c r="X42" s="22">
        <v>4</v>
      </c>
      <c r="Y42" s="22">
        <v>1</v>
      </c>
      <c r="Z42" s="22" t="s">
        <v>88</v>
      </c>
    </row>
    <row r="43" spans="15:26">
      <c r="V43" s="22">
        <v>42</v>
      </c>
      <c r="W43" s="22">
        <v>5</v>
      </c>
      <c r="X43" s="22">
        <v>3</v>
      </c>
      <c r="Y43" s="22">
        <v>6</v>
      </c>
      <c r="Z43" s="22" t="s">
        <v>88</v>
      </c>
    </row>
    <row r="44" spans="15:26">
      <c r="V44" s="22">
        <v>43</v>
      </c>
      <c r="W44" s="22">
        <v>10</v>
      </c>
      <c r="X44" s="22">
        <v>7</v>
      </c>
      <c r="Y44" s="22">
        <v>8</v>
      </c>
      <c r="Z44" s="22" t="s">
        <v>88</v>
      </c>
    </row>
    <row r="45" spans="15:26">
      <c r="V45" s="22">
        <v>44</v>
      </c>
      <c r="W45" s="22">
        <v>4</v>
      </c>
      <c r="X45" s="22">
        <v>5</v>
      </c>
      <c r="Y45" s="22">
        <v>1</v>
      </c>
      <c r="Z45" s="22" t="s">
        <v>88</v>
      </c>
    </row>
    <row r="46" spans="15:26">
      <c r="V46" s="22">
        <v>45</v>
      </c>
      <c r="W46" s="22">
        <v>2</v>
      </c>
      <c r="X46" s="22">
        <v>5</v>
      </c>
      <c r="Y46" s="22">
        <v>15</v>
      </c>
      <c r="Z46" s="22" t="s">
        <v>88</v>
      </c>
    </row>
    <row r="47" spans="15:26">
      <c r="V47" s="22">
        <v>46</v>
      </c>
      <c r="W47" s="22">
        <v>4</v>
      </c>
      <c r="X47" s="22">
        <v>9</v>
      </c>
      <c r="Y47" s="22">
        <v>3</v>
      </c>
      <c r="Z47" s="22" t="s">
        <v>88</v>
      </c>
    </row>
    <row r="48" spans="15:26">
      <c r="V48" s="22">
        <v>47</v>
      </c>
      <c r="W48" s="22">
        <v>1</v>
      </c>
      <c r="X48" s="22">
        <v>7</v>
      </c>
      <c r="Y48" s="22">
        <v>14</v>
      </c>
      <c r="Z48" s="22" t="s">
        <v>88</v>
      </c>
    </row>
    <row r="49" spans="22:26">
      <c r="V49" s="22">
        <v>48</v>
      </c>
      <c r="W49" s="22">
        <v>10</v>
      </c>
      <c r="X49" s="22">
        <v>3</v>
      </c>
      <c r="Y49" s="22">
        <v>2</v>
      </c>
      <c r="Z49" s="22" t="s">
        <v>88</v>
      </c>
    </row>
    <row r="50" spans="22:26">
      <c r="V50" s="22">
        <v>49</v>
      </c>
      <c r="W50" s="22">
        <v>11</v>
      </c>
      <c r="X50" s="22">
        <v>7</v>
      </c>
      <c r="Y50" s="22">
        <v>4</v>
      </c>
      <c r="Z50" s="22" t="s">
        <v>88</v>
      </c>
    </row>
    <row r="51" spans="22:26">
      <c r="V51" s="22">
        <v>50</v>
      </c>
      <c r="W51" s="22">
        <v>2</v>
      </c>
      <c r="X51" s="22">
        <v>8</v>
      </c>
      <c r="Y51" s="22">
        <v>13</v>
      </c>
      <c r="Z51" s="22" t="s">
        <v>88</v>
      </c>
    </row>
    <row r="52" spans="22:26">
      <c r="V52" s="22">
        <v>51</v>
      </c>
      <c r="W52" s="22">
        <v>1</v>
      </c>
      <c r="X52" s="22">
        <v>8</v>
      </c>
      <c r="Y52" s="22">
        <v>13</v>
      </c>
      <c r="Z52" s="22" t="s">
        <v>88</v>
      </c>
    </row>
    <row r="53" spans="22:26">
      <c r="V53" s="22">
        <v>52</v>
      </c>
      <c r="W53" s="22">
        <v>1</v>
      </c>
      <c r="X53" s="22">
        <v>8</v>
      </c>
      <c r="Y53" s="22">
        <v>8</v>
      </c>
      <c r="Z53" s="22" t="s">
        <v>88</v>
      </c>
    </row>
    <row r="54" spans="22:26">
      <c r="V54" s="22">
        <v>53</v>
      </c>
      <c r="W54" s="22">
        <v>3</v>
      </c>
      <c r="X54" s="22">
        <v>5</v>
      </c>
      <c r="Y54" s="22">
        <v>12</v>
      </c>
      <c r="Z54" s="22" t="s">
        <v>88</v>
      </c>
    </row>
    <row r="55" spans="22:26">
      <c r="V55" s="22">
        <v>54</v>
      </c>
      <c r="W55" s="22">
        <v>1</v>
      </c>
      <c r="X55" s="22">
        <v>9</v>
      </c>
      <c r="Y55" s="22">
        <v>3</v>
      </c>
      <c r="Z55" s="22" t="s">
        <v>88</v>
      </c>
    </row>
    <row r="56" spans="22:26">
      <c r="V56" s="22">
        <v>55</v>
      </c>
      <c r="W56" s="22">
        <v>19</v>
      </c>
      <c r="X56" s="22">
        <v>3</v>
      </c>
      <c r="Y56" s="22">
        <v>3</v>
      </c>
      <c r="Z56" s="22" t="s">
        <v>88</v>
      </c>
    </row>
    <row r="57" spans="22:26">
      <c r="V57" s="22">
        <v>56</v>
      </c>
      <c r="W57" s="22">
        <v>11</v>
      </c>
      <c r="X57" s="22">
        <v>7</v>
      </c>
      <c r="Y57" s="22">
        <v>1</v>
      </c>
      <c r="Z57" s="22" t="s">
        <v>88</v>
      </c>
    </row>
    <row r="58" spans="22:26">
      <c r="V58" s="22">
        <v>57</v>
      </c>
      <c r="W58" s="22">
        <v>16</v>
      </c>
      <c r="X58" s="22">
        <v>3</v>
      </c>
      <c r="Y58" s="22">
        <v>3</v>
      </c>
      <c r="Z58" s="22" t="s">
        <v>88</v>
      </c>
    </row>
    <row r="59" spans="22:26">
      <c r="V59" s="22">
        <v>58</v>
      </c>
      <c r="W59" s="22">
        <v>8</v>
      </c>
      <c r="X59" s="22">
        <v>2</v>
      </c>
      <c r="Y59" s="22">
        <v>6</v>
      </c>
      <c r="Z59" s="22" t="s">
        <v>88</v>
      </c>
    </row>
    <row r="60" spans="22:26">
      <c r="V60" s="22">
        <v>59</v>
      </c>
      <c r="W60" s="22">
        <v>4</v>
      </c>
      <c r="X60" s="22">
        <v>4</v>
      </c>
      <c r="Y60" s="22">
        <v>4</v>
      </c>
      <c r="Z60" s="22" t="s">
        <v>88</v>
      </c>
    </row>
    <row r="61" spans="22:26">
      <c r="V61" s="22">
        <v>60</v>
      </c>
      <c r="W61" s="22">
        <v>13</v>
      </c>
      <c r="X61" s="22">
        <v>8</v>
      </c>
      <c r="Y61" s="22">
        <v>2</v>
      </c>
      <c r="Z61" s="22" t="s">
        <v>88</v>
      </c>
    </row>
    <row r="62" spans="22:26">
      <c r="Z62" s="22" t="s">
        <v>101</v>
      </c>
    </row>
  </sheetData>
  <autoFilter xmlns:etc="http://www.wps.cn/officeDocument/2017/etCustomData" ref="A1:Z62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workbookViewId="0">
      <selection activeCell="C10" sqref="C10"/>
    </sheetView>
  </sheetViews>
  <sheetFormatPr defaultColWidth="9" defaultRowHeight="15.75" outlineLevelCol="5"/>
  <cols>
    <col min="1" max="16384" width="9" style="22"/>
  </cols>
  <sheetData>
    <row r="1" ht="22" customHeight="1" spans="1:6">
      <c r="C1" s="22" t="s">
        <v>102</v>
      </c>
      <c r="D1" s="22" t="s">
        <v>103</v>
      </c>
      <c r="E1" s="22" t="s">
        <v>104</v>
      </c>
      <c r="F1" s="22" t="s">
        <v>105</v>
      </c>
    </row>
    <row r="2" ht="22" customHeight="1" spans="1:6">
      <c r="A2" s="22" t="s">
        <v>65</v>
      </c>
      <c r="B2" s="22">
        <v>40</v>
      </c>
      <c r="C2" s="22">
        <v>221.13</v>
      </c>
      <c r="D2" s="22">
        <v>254.15</v>
      </c>
      <c r="E2" s="22">
        <v>268.54</v>
      </c>
      <c r="F2" s="22">
        <v>279.93</v>
      </c>
    </row>
    <row r="3" ht="22" customHeight="1" spans="1:6">
      <c r="B3" s="22">
        <v>60</v>
      </c>
      <c r="C3" s="22">
        <v>354.13</v>
      </c>
      <c r="D3" s="22">
        <v>390.09</v>
      </c>
      <c r="E3" s="22">
        <v>428.12</v>
      </c>
      <c r="F3" s="22">
        <v>410.7</v>
      </c>
    </row>
    <row r="4" ht="22" customHeight="1" spans="1:6">
      <c r="B4" s="22">
        <v>80</v>
      </c>
      <c r="C4" s="22">
        <v>485.19</v>
      </c>
      <c r="D4" s="22">
        <v>528.33</v>
      </c>
      <c r="E4" s="22">
        <v>572.1</v>
      </c>
      <c r="F4" s="22">
        <v>541.89</v>
      </c>
    </row>
    <row r="5" ht="22" customHeight="1" spans="1:6">
      <c r="B5" s="22">
        <v>120</v>
      </c>
      <c r="C5" s="22">
        <v>915.43</v>
      </c>
      <c r="D5" s="22">
        <v>992.16</v>
      </c>
      <c r="E5" s="22">
        <v>1115.39</v>
      </c>
      <c r="F5" s="22">
        <v>1038.77</v>
      </c>
    </row>
    <row r="6" ht="22" customHeight="1"/>
    <row r="7" ht="22" customHeight="1" spans="1:6">
      <c r="C7" s="22" t="s">
        <v>102</v>
      </c>
      <c r="D7" s="22" t="s">
        <v>103</v>
      </c>
      <c r="E7" s="22" t="s">
        <v>104</v>
      </c>
      <c r="F7" s="22" t="s">
        <v>105</v>
      </c>
    </row>
    <row r="8" ht="22" customHeight="1" spans="1:6">
      <c r="A8" s="22" t="s">
        <v>68</v>
      </c>
      <c r="B8" s="22">
        <v>40</v>
      </c>
      <c r="C8" s="22">
        <v>210.94</v>
      </c>
      <c r="D8" s="22">
        <v>243.1</v>
      </c>
      <c r="E8" s="22">
        <v>251.68</v>
      </c>
      <c r="F8" s="22">
        <v>276.71</v>
      </c>
    </row>
    <row r="9" ht="22" customHeight="1" spans="1:6">
      <c r="B9" s="22">
        <v>60</v>
      </c>
      <c r="C9" s="22">
        <v>333.79</v>
      </c>
      <c r="D9" s="22">
        <v>374.73</v>
      </c>
      <c r="E9" s="22">
        <v>412.05</v>
      </c>
      <c r="F9" s="22">
        <v>393.32</v>
      </c>
    </row>
    <row r="10" ht="22" customHeight="1" spans="1:6">
      <c r="B10" s="22">
        <v>80</v>
      </c>
      <c r="C10" s="22">
        <v>460.12</v>
      </c>
      <c r="D10" s="22">
        <v>511.09</v>
      </c>
      <c r="E10" s="22">
        <v>565.11</v>
      </c>
      <c r="F10" s="22">
        <v>522.37</v>
      </c>
    </row>
    <row r="11" ht="22" customHeight="1" spans="1:6">
      <c r="B11" s="22">
        <v>120</v>
      </c>
      <c r="C11" s="22">
        <v>888.18</v>
      </c>
      <c r="D11" s="22">
        <v>989.1</v>
      </c>
      <c r="E11" s="22">
        <v>1097.72</v>
      </c>
      <c r="F11" s="22">
        <v>1012.25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6"/>
  <sheetViews>
    <sheetView workbookViewId="0">
      <selection activeCell="X40" sqref="X40"/>
    </sheetView>
  </sheetViews>
  <sheetFormatPr defaultColWidth="9" defaultRowHeight="15.75"/>
  <cols>
    <col min="2" max="3" width="9" style="37"/>
    <col min="4" max="4" width="4.875" customWidth="1"/>
    <col min="11" max="11" width="6.625" customWidth="1"/>
  </cols>
  <sheetData>
    <row r="1" spans="2:20">
      <c r="B1" s="87" t="s">
        <v>106</v>
      </c>
      <c r="C1" s="88"/>
      <c r="D1" s="88"/>
      <c r="E1" s="88"/>
      <c r="F1" s="89"/>
      <c r="I1" s="87" t="s">
        <v>107</v>
      </c>
      <c r="J1" s="88"/>
      <c r="K1" s="88"/>
      <c r="L1" s="88"/>
      <c r="M1" s="89"/>
      <c r="P1" s="87" t="s">
        <v>108</v>
      </c>
      <c r="Q1" s="88"/>
      <c r="R1" s="88"/>
      <c r="S1" s="88"/>
      <c r="T1" s="89"/>
    </row>
    <row r="2" ht="16.5" spans="2:20">
      <c r="B2" s="90" t="s">
        <v>109</v>
      </c>
      <c r="C2" s="91"/>
      <c r="D2" s="91"/>
      <c r="E2" s="91" t="s">
        <v>110</v>
      </c>
      <c r="F2" s="92"/>
      <c r="I2" s="90" t="s">
        <v>109</v>
      </c>
      <c r="J2" s="91"/>
      <c r="K2" s="91"/>
      <c r="L2" s="91" t="s">
        <v>110</v>
      </c>
      <c r="M2" s="92"/>
      <c r="P2" s="90" t="s">
        <v>109</v>
      </c>
      <c r="Q2" s="91"/>
      <c r="R2" s="91"/>
      <c r="S2" s="91" t="s">
        <v>110</v>
      </c>
      <c r="T2" s="92"/>
    </row>
    <row r="3" spans="2:20">
      <c r="B3" s="87">
        <v>3</v>
      </c>
      <c r="C3" s="93">
        <v>32.84</v>
      </c>
      <c r="D3" s="94"/>
      <c r="E3" s="88">
        <v>16</v>
      </c>
      <c r="F3" s="95">
        <v>35.76</v>
      </c>
      <c r="I3" s="87">
        <v>40</v>
      </c>
      <c r="J3" s="93">
        <v>21.56</v>
      </c>
      <c r="K3" s="94"/>
      <c r="L3" s="88">
        <v>35</v>
      </c>
      <c r="M3" s="95">
        <v>16.93</v>
      </c>
      <c r="P3" s="87">
        <v>34</v>
      </c>
      <c r="Q3" s="93">
        <v>35.83</v>
      </c>
      <c r="R3" s="94"/>
      <c r="S3" s="88">
        <v>38</v>
      </c>
      <c r="T3" s="95">
        <v>43.12</v>
      </c>
    </row>
    <row r="4" spans="2:20">
      <c r="B4" s="96"/>
      <c r="C4" s="82">
        <v>23.26</v>
      </c>
      <c r="E4" s="22"/>
      <c r="F4" s="97">
        <v>23.87</v>
      </c>
      <c r="I4" s="96"/>
      <c r="J4" s="82">
        <v>25.41</v>
      </c>
      <c r="L4" s="22"/>
      <c r="M4" s="97">
        <v>20.01</v>
      </c>
      <c r="P4" s="96"/>
      <c r="Q4" s="82">
        <v>38.64</v>
      </c>
      <c r="S4" s="22"/>
      <c r="T4" s="97">
        <v>32.84</v>
      </c>
    </row>
    <row r="5" spans="2:20">
      <c r="B5" s="96">
        <v>13</v>
      </c>
      <c r="C5" s="82">
        <v>20.75</v>
      </c>
      <c r="E5" s="22">
        <v>11</v>
      </c>
      <c r="F5" s="97">
        <v>30.97</v>
      </c>
      <c r="I5" s="96">
        <v>35</v>
      </c>
      <c r="J5" s="82">
        <v>19.19</v>
      </c>
      <c r="L5" s="22">
        <v>7</v>
      </c>
      <c r="M5" s="97">
        <v>26.49</v>
      </c>
      <c r="P5" s="96">
        <v>6</v>
      </c>
      <c r="Q5" s="82">
        <v>25.7</v>
      </c>
      <c r="S5" s="22">
        <v>34</v>
      </c>
      <c r="T5" s="97">
        <v>38.64</v>
      </c>
    </row>
    <row r="6" spans="2:20">
      <c r="B6" s="96"/>
      <c r="C6" s="82">
        <v>26.1</v>
      </c>
      <c r="E6" s="22"/>
      <c r="F6" s="97">
        <v>26.46</v>
      </c>
      <c r="I6" s="96"/>
      <c r="J6" s="82">
        <v>25.7</v>
      </c>
      <c r="L6" s="22"/>
      <c r="M6" s="97">
        <v>20.01</v>
      </c>
      <c r="P6" s="96"/>
      <c r="Q6" s="82">
        <v>17.34</v>
      </c>
      <c r="S6" s="22"/>
      <c r="T6" s="97">
        <v>28.03</v>
      </c>
    </row>
    <row r="7" spans="2:20">
      <c r="B7" s="96">
        <v>14</v>
      </c>
      <c r="C7" s="82">
        <v>32.92</v>
      </c>
      <c r="E7" s="22">
        <v>30</v>
      </c>
      <c r="F7" s="97">
        <v>26.79</v>
      </c>
      <c r="I7" s="96">
        <v>32</v>
      </c>
      <c r="J7" s="82">
        <v>14</v>
      </c>
      <c r="L7" s="22">
        <v>32</v>
      </c>
      <c r="M7" s="97">
        <v>29.2</v>
      </c>
      <c r="P7" s="96">
        <v>22</v>
      </c>
      <c r="Q7" s="82">
        <v>30.03</v>
      </c>
      <c r="S7" s="22">
        <v>33</v>
      </c>
      <c r="T7" s="97">
        <v>43.36</v>
      </c>
    </row>
    <row r="8" spans="2:20">
      <c r="B8" s="96"/>
      <c r="C8" s="82">
        <v>23.35</v>
      </c>
      <c r="E8" s="22"/>
      <c r="F8" s="97">
        <v>22.34</v>
      </c>
      <c r="I8" s="96"/>
      <c r="J8" s="82">
        <v>19.22</v>
      </c>
      <c r="L8" s="22"/>
      <c r="M8" s="97">
        <v>23.82</v>
      </c>
      <c r="P8" s="96"/>
      <c r="Q8" s="82">
        <v>25.69</v>
      </c>
      <c r="S8" s="22"/>
      <c r="T8" s="97">
        <v>32.03</v>
      </c>
    </row>
    <row r="9" spans="2:20">
      <c r="B9" s="96">
        <v>11</v>
      </c>
      <c r="C9" s="82">
        <v>24.66</v>
      </c>
      <c r="E9" s="22">
        <v>3</v>
      </c>
      <c r="F9" s="97">
        <v>14.12</v>
      </c>
      <c r="I9" s="96">
        <v>30</v>
      </c>
      <c r="J9" s="82">
        <v>23.37</v>
      </c>
      <c r="L9" s="22">
        <v>14</v>
      </c>
      <c r="M9" s="97">
        <v>29.28</v>
      </c>
      <c r="P9" s="96">
        <v>21</v>
      </c>
      <c r="Q9" s="82">
        <v>32.85</v>
      </c>
      <c r="S9" s="22">
        <v>22</v>
      </c>
      <c r="T9" s="97">
        <v>29.75</v>
      </c>
    </row>
    <row r="10" spans="2:20">
      <c r="B10" s="96"/>
      <c r="C10" s="82">
        <v>23.08</v>
      </c>
      <c r="E10" s="22"/>
      <c r="F10" s="97">
        <v>18.1</v>
      </c>
      <c r="I10" s="98"/>
      <c r="J10" s="82">
        <v>28.25</v>
      </c>
      <c r="L10" s="22"/>
      <c r="M10" s="97">
        <v>23.76</v>
      </c>
      <c r="P10" s="96"/>
      <c r="Q10" s="82">
        <v>38.64</v>
      </c>
      <c r="S10" s="22"/>
      <c r="T10" s="97">
        <v>23.58</v>
      </c>
    </row>
    <row r="11" spans="2:20">
      <c r="B11" s="96">
        <v>16</v>
      </c>
      <c r="C11" s="82">
        <v>23.63</v>
      </c>
      <c r="E11" s="22">
        <v>40</v>
      </c>
      <c r="F11" s="97">
        <v>26.93</v>
      </c>
      <c r="I11" s="99"/>
      <c r="L11" s="22">
        <v>28</v>
      </c>
      <c r="M11" s="97">
        <v>29.34</v>
      </c>
      <c r="P11" s="96">
        <v>17</v>
      </c>
      <c r="Q11" s="82">
        <v>24.13</v>
      </c>
      <c r="S11" s="22">
        <v>21</v>
      </c>
      <c r="T11" s="97">
        <v>30.04</v>
      </c>
    </row>
    <row r="12" spans="2:20">
      <c r="B12" s="96"/>
      <c r="C12" s="82">
        <v>18.11</v>
      </c>
      <c r="E12" s="22"/>
      <c r="F12" s="97">
        <v>30.92</v>
      </c>
      <c r="I12" s="99"/>
      <c r="M12" s="97">
        <v>39.84</v>
      </c>
      <c r="P12" s="96"/>
      <c r="Q12" s="82">
        <v>29.05</v>
      </c>
      <c r="S12" s="22"/>
      <c r="T12" s="97">
        <v>30.16</v>
      </c>
    </row>
    <row r="13" spans="2:20">
      <c r="B13" s="96">
        <v>28</v>
      </c>
      <c r="C13" s="82">
        <v>26.48</v>
      </c>
      <c r="E13" s="22">
        <v>9</v>
      </c>
      <c r="F13" s="97">
        <v>18.85</v>
      </c>
      <c r="I13" s="99"/>
      <c r="M13" s="100"/>
      <c r="P13" s="96">
        <v>38</v>
      </c>
      <c r="Q13" s="82">
        <v>31.01</v>
      </c>
      <c r="S13" s="22">
        <v>6</v>
      </c>
      <c r="T13" s="97">
        <v>13.39</v>
      </c>
    </row>
    <row r="14" spans="2:20">
      <c r="B14" s="98"/>
      <c r="C14" s="82">
        <v>32.97</v>
      </c>
      <c r="F14" s="97">
        <v>24.2726028865096</v>
      </c>
      <c r="I14" s="99"/>
      <c r="M14" s="100"/>
      <c r="P14" s="96"/>
      <c r="Q14" s="82">
        <v>24.95</v>
      </c>
      <c r="S14" s="22"/>
      <c r="T14" s="97">
        <v>13.52</v>
      </c>
    </row>
    <row r="15" spans="2:20">
      <c r="B15" s="98"/>
      <c r="F15" s="100"/>
      <c r="I15" s="99"/>
      <c r="M15" s="100"/>
      <c r="P15" s="96">
        <v>33</v>
      </c>
      <c r="Q15" s="82">
        <v>23.18</v>
      </c>
      <c r="S15" s="22">
        <v>5</v>
      </c>
      <c r="T15" s="97">
        <v>15.46</v>
      </c>
    </row>
    <row r="16" spans="2:20">
      <c r="B16" s="98"/>
      <c r="F16" s="100"/>
      <c r="I16" s="99"/>
      <c r="M16" s="100"/>
      <c r="P16" s="96"/>
      <c r="Q16" s="82">
        <v>26.02</v>
      </c>
      <c r="S16" s="22"/>
      <c r="T16" s="97">
        <v>11.59</v>
      </c>
    </row>
    <row r="17" spans="1:20">
      <c r="B17" s="98"/>
      <c r="F17" s="100"/>
      <c r="I17" s="99"/>
      <c r="M17" s="100"/>
      <c r="P17" s="96">
        <v>5</v>
      </c>
      <c r="Q17" s="82">
        <v>23.16</v>
      </c>
      <c r="S17" s="22">
        <v>17</v>
      </c>
      <c r="T17" s="97">
        <v>25.87</v>
      </c>
    </row>
    <row r="18" ht="16.5" spans="1:20">
      <c r="B18" s="101"/>
      <c r="C18" s="102"/>
      <c r="D18" s="103"/>
      <c r="E18" s="103"/>
      <c r="F18" s="104"/>
      <c r="I18" s="105"/>
      <c r="J18" s="103"/>
      <c r="K18" s="103"/>
      <c r="L18" s="103"/>
      <c r="M18" s="104"/>
      <c r="P18" s="105"/>
      <c r="Q18" s="106">
        <v>26.02</v>
      </c>
      <c r="R18" s="103"/>
      <c r="S18" s="91"/>
      <c r="T18" s="107">
        <v>15.46</v>
      </c>
    </row>
    <row r="19" spans="1:20">
      <c r="A19" s="22" t="s">
        <v>111</v>
      </c>
      <c r="C19" s="44">
        <f>SUM(C3:C18)</f>
        <v>308.15</v>
      </c>
      <c r="F19" s="44">
        <f>SUM(F3:F18)</f>
        <v>299.38260288651</v>
      </c>
      <c r="J19" s="44">
        <f>SUM(J3:J16)</f>
        <v>176.7</v>
      </c>
      <c r="M19" s="44">
        <f>SUM(M3:M16)</f>
        <v>258.68</v>
      </c>
      <c r="Q19" s="44">
        <f>SUM(Q3:Q18)</f>
        <v>452.24</v>
      </c>
      <c r="T19" s="44">
        <f>SUM(T3:T18)</f>
        <v>426.84</v>
      </c>
    </row>
    <row r="20" spans="1:20">
      <c r="C20" s="44"/>
      <c r="F20" s="44"/>
      <c r="J20" s="44"/>
      <c r="M20" s="44"/>
      <c r="Q20" s="44"/>
      <c r="T20" s="44"/>
    </row>
    <row r="21" spans="1:20">
      <c r="C21" s="44"/>
      <c r="F21" s="44"/>
      <c r="J21" s="44"/>
      <c r="M21" s="44"/>
      <c r="Q21" s="44"/>
      <c r="T21" s="44"/>
    </row>
    <row r="25" spans="1:20">
      <c r="B25" s="87" t="s">
        <v>112</v>
      </c>
      <c r="C25" s="88"/>
      <c r="D25" s="88"/>
      <c r="E25" s="88"/>
      <c r="F25" s="89"/>
      <c r="I25" s="87" t="s">
        <v>113</v>
      </c>
      <c r="J25" s="88"/>
      <c r="K25" s="88"/>
      <c r="L25" s="88"/>
      <c r="M25" s="89"/>
      <c r="P25" s="87" t="s">
        <v>114</v>
      </c>
      <c r="Q25" s="88"/>
      <c r="R25" s="88"/>
      <c r="S25" s="88"/>
      <c r="T25" s="89"/>
    </row>
    <row r="26" ht="16.5" spans="1:20">
      <c r="B26" s="96" t="s">
        <v>109</v>
      </c>
      <c r="C26" s="38"/>
      <c r="D26" s="38"/>
      <c r="E26" s="38" t="s">
        <v>110</v>
      </c>
      <c r="F26" s="108"/>
      <c r="I26" s="96" t="s">
        <v>109</v>
      </c>
      <c r="J26" s="38"/>
      <c r="K26" s="38"/>
      <c r="L26" s="38" t="s">
        <v>110</v>
      </c>
      <c r="M26" s="108"/>
      <c r="P26" s="96" t="s">
        <v>109</v>
      </c>
      <c r="Q26" s="38"/>
      <c r="R26" s="38"/>
      <c r="S26" s="38" t="s">
        <v>110</v>
      </c>
      <c r="T26" s="108"/>
    </row>
    <row r="27" spans="1:20">
      <c r="B27" s="109" t="s">
        <v>115</v>
      </c>
      <c r="C27" s="110" t="s">
        <v>116</v>
      </c>
      <c r="D27" s="111"/>
      <c r="E27" s="110" t="s">
        <v>115</v>
      </c>
      <c r="F27" s="112" t="s">
        <v>116</v>
      </c>
      <c r="I27" s="109" t="s">
        <v>115</v>
      </c>
      <c r="J27" s="110" t="s">
        <v>116</v>
      </c>
      <c r="K27" s="111"/>
      <c r="L27" s="110" t="s">
        <v>115</v>
      </c>
      <c r="M27" s="112" t="s">
        <v>116</v>
      </c>
      <c r="P27" s="109" t="s">
        <v>115</v>
      </c>
      <c r="Q27" s="110" t="s">
        <v>116</v>
      </c>
      <c r="R27" s="111"/>
      <c r="S27" s="110" t="s">
        <v>115</v>
      </c>
      <c r="T27" s="112" t="s">
        <v>116</v>
      </c>
    </row>
    <row r="28" spans="1:20">
      <c r="B28" s="96">
        <v>39</v>
      </c>
      <c r="C28" s="82">
        <v>43.77</v>
      </c>
      <c r="D28" s="113"/>
      <c r="E28" s="22">
        <v>1</v>
      </c>
      <c r="F28" s="97">
        <v>26.41</v>
      </c>
      <c r="I28" s="96">
        <v>20</v>
      </c>
      <c r="J28" s="82">
        <v>45.09</v>
      </c>
      <c r="K28" s="113"/>
      <c r="L28" s="38">
        <v>8</v>
      </c>
      <c r="M28" s="97">
        <v>33.84</v>
      </c>
      <c r="P28" s="96">
        <v>2</v>
      </c>
      <c r="Q28" s="82">
        <v>22.35</v>
      </c>
      <c r="R28" s="113"/>
      <c r="S28" s="38">
        <v>24</v>
      </c>
      <c r="T28" s="97">
        <v>15.29</v>
      </c>
    </row>
    <row r="29" spans="1:20">
      <c r="B29" s="96"/>
      <c r="C29" s="82">
        <v>26.96</v>
      </c>
      <c r="D29" s="113"/>
      <c r="E29" s="22"/>
      <c r="F29" s="97">
        <v>19.51</v>
      </c>
      <c r="I29" s="96"/>
      <c r="J29" s="82">
        <v>30.02</v>
      </c>
      <c r="K29" s="113"/>
      <c r="L29" s="38"/>
      <c r="M29" s="97">
        <v>24.29</v>
      </c>
      <c r="P29" s="96"/>
      <c r="Q29" s="82">
        <v>20.09</v>
      </c>
      <c r="R29" s="113"/>
      <c r="S29" s="38"/>
      <c r="T29" s="97">
        <v>17.54</v>
      </c>
    </row>
    <row r="30" spans="1:20">
      <c r="B30" s="96">
        <v>9</v>
      </c>
      <c r="C30" s="82">
        <v>17.57</v>
      </c>
      <c r="D30" s="113"/>
      <c r="E30" s="22">
        <v>2</v>
      </c>
      <c r="F30" s="97">
        <v>36</v>
      </c>
      <c r="I30" s="96">
        <v>23</v>
      </c>
      <c r="J30" s="82">
        <v>39.11</v>
      </c>
      <c r="K30" s="113"/>
      <c r="L30" s="38">
        <v>25</v>
      </c>
      <c r="M30" s="97">
        <v>18.52</v>
      </c>
      <c r="P30" s="96">
        <v>25</v>
      </c>
      <c r="Q30" s="82">
        <v>23.7</v>
      </c>
      <c r="R30" s="113"/>
      <c r="S30" s="38">
        <v>26</v>
      </c>
      <c r="T30" s="97">
        <v>25.63</v>
      </c>
    </row>
    <row r="31" spans="1:20">
      <c r="B31" s="96"/>
      <c r="C31" s="82">
        <v>13.1</v>
      </c>
      <c r="D31" s="113"/>
      <c r="E31" s="22"/>
      <c r="F31" s="97">
        <v>12.44</v>
      </c>
      <c r="I31" s="96"/>
      <c r="J31" s="82">
        <v>27.55</v>
      </c>
      <c r="K31" s="113"/>
      <c r="L31" s="38"/>
      <c r="M31" s="97">
        <v>22.22</v>
      </c>
      <c r="P31" s="96"/>
      <c r="Q31" s="82">
        <v>20.26</v>
      </c>
      <c r="R31" s="113"/>
      <c r="S31" s="38"/>
      <c r="T31" s="97">
        <v>23.13</v>
      </c>
    </row>
    <row r="32" spans="1:20">
      <c r="B32" s="96">
        <v>31</v>
      </c>
      <c r="C32" s="82">
        <v>25.41</v>
      </c>
      <c r="D32" s="113"/>
      <c r="E32" s="22">
        <v>23</v>
      </c>
      <c r="F32" s="97">
        <v>14.89</v>
      </c>
      <c r="I32" s="96">
        <v>15</v>
      </c>
      <c r="J32" s="82">
        <v>37.37</v>
      </c>
      <c r="K32" s="113"/>
      <c r="L32" s="38">
        <v>12</v>
      </c>
      <c r="M32" s="97">
        <v>22.15</v>
      </c>
      <c r="P32" s="96">
        <v>18</v>
      </c>
      <c r="Q32" s="82">
        <v>32.27</v>
      </c>
      <c r="R32" s="113"/>
      <c r="S32" s="38">
        <v>10</v>
      </c>
      <c r="T32" s="97">
        <v>21.51</v>
      </c>
    </row>
    <row r="33" spans="1:20">
      <c r="B33" s="96"/>
      <c r="C33" s="82">
        <v>18.29</v>
      </c>
      <c r="D33" s="113"/>
      <c r="E33" s="22"/>
      <c r="F33" s="97">
        <v>22.89</v>
      </c>
      <c r="I33" s="96"/>
      <c r="J33" s="82">
        <v>29.81</v>
      </c>
      <c r="K33" s="113"/>
      <c r="L33" s="38"/>
      <c r="M33" s="97">
        <v>13.24</v>
      </c>
      <c r="P33" s="96"/>
      <c r="Q33" s="82">
        <v>37.57</v>
      </c>
      <c r="R33" s="113"/>
      <c r="S33" s="38"/>
      <c r="T33" s="97">
        <v>18.27</v>
      </c>
    </row>
    <row r="34" spans="1:20">
      <c r="B34" s="96">
        <v>24</v>
      </c>
      <c r="C34" s="82">
        <v>13.77</v>
      </c>
      <c r="D34" s="113"/>
      <c r="E34" s="22">
        <v>37</v>
      </c>
      <c r="F34" s="97">
        <v>32.82</v>
      </c>
      <c r="I34" s="96">
        <v>36</v>
      </c>
      <c r="J34" s="82">
        <v>34.46</v>
      </c>
      <c r="K34" s="113"/>
      <c r="L34" s="38">
        <v>15</v>
      </c>
      <c r="M34" s="97">
        <v>31.01</v>
      </c>
      <c r="P34" s="96">
        <v>29</v>
      </c>
      <c r="Q34" s="82">
        <v>24.5</v>
      </c>
      <c r="R34" s="113"/>
      <c r="S34" s="38">
        <v>20</v>
      </c>
      <c r="T34" s="97">
        <v>28.44</v>
      </c>
    </row>
    <row r="35" spans="1:20">
      <c r="B35" s="96"/>
      <c r="C35" s="82">
        <v>13.92</v>
      </c>
      <c r="D35" s="113"/>
      <c r="E35" s="22"/>
      <c r="F35" s="97">
        <v>26</v>
      </c>
      <c r="I35" s="96"/>
      <c r="J35" s="82">
        <v>16.14</v>
      </c>
      <c r="K35" s="113"/>
      <c r="L35" s="38"/>
      <c r="M35" s="97">
        <v>18.26</v>
      </c>
      <c r="P35" s="96"/>
      <c r="Q35" s="82">
        <v>28.16</v>
      </c>
      <c r="R35" s="113"/>
      <c r="S35" s="38"/>
      <c r="T35" s="97">
        <v>21.46</v>
      </c>
    </row>
    <row r="36" spans="1:20">
      <c r="B36" s="96">
        <v>37</v>
      </c>
      <c r="C36" s="82">
        <v>42.13</v>
      </c>
      <c r="D36" s="113"/>
      <c r="E36" s="22">
        <v>39</v>
      </c>
      <c r="F36" s="97">
        <v>28.29</v>
      </c>
      <c r="I36" s="96">
        <v>19</v>
      </c>
      <c r="J36" s="82">
        <v>36.88</v>
      </c>
      <c r="K36" s="113"/>
      <c r="L36" s="38">
        <v>18</v>
      </c>
      <c r="M36" s="97">
        <v>39.89</v>
      </c>
      <c r="P36" s="96">
        <v>27</v>
      </c>
      <c r="Q36" s="82">
        <v>26.85</v>
      </c>
      <c r="R36" s="113"/>
      <c r="S36" s="38">
        <v>19</v>
      </c>
      <c r="T36" s="97">
        <v>30.79</v>
      </c>
    </row>
    <row r="37" spans="1:20">
      <c r="B37" s="96"/>
      <c r="C37" s="82">
        <v>38.36</v>
      </c>
      <c r="D37" s="113"/>
      <c r="E37" s="22"/>
      <c r="F37" s="97">
        <v>16.87</v>
      </c>
      <c r="I37" s="96"/>
      <c r="J37" s="82">
        <v>23.61</v>
      </c>
      <c r="K37" s="113"/>
      <c r="L37" s="38"/>
      <c r="M37" s="97">
        <v>22.49</v>
      </c>
      <c r="P37" s="96"/>
      <c r="Q37" s="82">
        <v>26.95</v>
      </c>
      <c r="R37" s="113"/>
      <c r="S37" s="38"/>
      <c r="T37" s="97">
        <v>21.67</v>
      </c>
    </row>
    <row r="38" spans="1:20">
      <c r="B38" s="96">
        <v>10</v>
      </c>
      <c r="C38" s="82">
        <v>26.15</v>
      </c>
      <c r="D38" s="113"/>
      <c r="E38" s="22">
        <v>13</v>
      </c>
      <c r="F38" s="97">
        <v>16.46</v>
      </c>
      <c r="I38" s="96">
        <v>12</v>
      </c>
      <c r="J38" s="82">
        <v>22.68</v>
      </c>
      <c r="K38" s="113"/>
      <c r="L38" s="38">
        <v>29</v>
      </c>
      <c r="M38" s="97">
        <v>16.79</v>
      </c>
      <c r="P38" s="98"/>
      <c r="Q38" s="114"/>
      <c r="R38" s="113"/>
      <c r="S38" s="38">
        <v>4</v>
      </c>
      <c r="T38" s="97">
        <v>12.69</v>
      </c>
    </row>
    <row r="39" spans="1:20">
      <c r="B39" s="96"/>
      <c r="C39" s="82">
        <v>30.6</v>
      </c>
      <c r="D39" s="113"/>
      <c r="E39" s="22"/>
      <c r="F39" s="97">
        <v>14.53</v>
      </c>
      <c r="I39" s="96"/>
      <c r="J39" s="82">
        <v>14.12</v>
      </c>
      <c r="K39" s="113"/>
      <c r="L39" s="38"/>
      <c r="M39" s="97">
        <v>13.25</v>
      </c>
      <c r="P39" s="98"/>
      <c r="Q39" s="114"/>
      <c r="R39" s="113"/>
      <c r="S39" s="38"/>
      <c r="T39" s="97">
        <v>16.84</v>
      </c>
    </row>
    <row r="40" spans="1:20">
      <c r="B40" s="96">
        <v>26</v>
      </c>
      <c r="C40" s="82">
        <v>32.89</v>
      </c>
      <c r="D40" s="113"/>
      <c r="E40" s="22">
        <v>27</v>
      </c>
      <c r="F40" s="97">
        <v>17.08</v>
      </c>
      <c r="I40" s="96">
        <v>4</v>
      </c>
      <c r="J40" s="82">
        <v>13.86</v>
      </c>
      <c r="K40" s="113"/>
      <c r="L40" s="38">
        <v>36</v>
      </c>
      <c r="M40" s="97">
        <v>19.36</v>
      </c>
      <c r="P40" s="98"/>
      <c r="Q40" s="114"/>
      <c r="R40" s="113"/>
      <c r="S40" s="38">
        <v>31</v>
      </c>
      <c r="T40" s="97">
        <v>18.7</v>
      </c>
    </row>
    <row r="41" spans="1:20">
      <c r="B41" s="96"/>
      <c r="C41" s="82">
        <v>25.75</v>
      </c>
      <c r="D41" s="113"/>
      <c r="E41" s="113"/>
      <c r="F41" s="97">
        <v>14.42</v>
      </c>
      <c r="I41" s="96"/>
      <c r="J41" s="82">
        <v>18.49</v>
      </c>
      <c r="K41" s="113"/>
      <c r="L41" s="113"/>
      <c r="M41" s="97">
        <v>19.79</v>
      </c>
      <c r="P41" s="98"/>
      <c r="Q41" s="114"/>
      <c r="R41" s="113"/>
      <c r="S41" s="38"/>
      <c r="T41" s="97">
        <v>17.99</v>
      </c>
    </row>
    <row r="42" spans="1:20">
      <c r="B42" s="96">
        <v>8</v>
      </c>
      <c r="C42" s="82">
        <v>25.67</v>
      </c>
      <c r="D42" s="113"/>
      <c r="E42" s="113"/>
      <c r="F42" s="97"/>
      <c r="I42" s="96">
        <v>7</v>
      </c>
      <c r="J42" s="82">
        <v>18.76</v>
      </c>
      <c r="K42" s="113"/>
      <c r="L42" s="113"/>
      <c r="M42" s="100"/>
      <c r="P42" s="98"/>
      <c r="Q42" s="114"/>
      <c r="R42" s="113"/>
      <c r="S42" s="113"/>
      <c r="T42" s="100"/>
    </row>
    <row r="43" spans="1:20">
      <c r="B43" s="96"/>
      <c r="C43" s="82">
        <v>28.44</v>
      </c>
      <c r="D43" s="113"/>
      <c r="E43" s="113"/>
      <c r="F43" s="100"/>
      <c r="I43" s="99"/>
      <c r="J43" s="82">
        <v>12.1</v>
      </c>
      <c r="K43" s="113"/>
      <c r="L43" s="113"/>
      <c r="M43" s="100"/>
      <c r="P43" s="98"/>
      <c r="Q43" s="114"/>
      <c r="R43" s="113"/>
      <c r="S43" s="113"/>
      <c r="T43" s="100"/>
    </row>
    <row r="44" spans="1:20">
      <c r="B44" s="96">
        <v>1</v>
      </c>
      <c r="C44" s="82">
        <v>16.05</v>
      </c>
      <c r="D44" s="113"/>
      <c r="E44" s="113"/>
      <c r="F44" s="97"/>
      <c r="I44" s="99"/>
      <c r="J44" s="113"/>
      <c r="K44" s="113"/>
      <c r="L44" s="113"/>
      <c r="M44" s="100"/>
      <c r="P44" s="98"/>
      <c r="Q44" s="114"/>
      <c r="R44" s="113"/>
      <c r="S44" s="113"/>
      <c r="T44" s="100"/>
    </row>
    <row r="45" ht="16.5" spans="1:20">
      <c r="B45" s="105"/>
      <c r="C45" s="106">
        <v>17.05</v>
      </c>
      <c r="D45" s="103"/>
      <c r="E45" s="103"/>
      <c r="F45" s="104"/>
      <c r="I45" s="105"/>
      <c r="J45" s="106"/>
      <c r="K45" s="103"/>
      <c r="L45" s="103"/>
      <c r="M45" s="104"/>
      <c r="P45" s="101"/>
      <c r="Q45" s="102"/>
      <c r="R45" s="103"/>
      <c r="S45" s="103"/>
      <c r="T45" s="104"/>
    </row>
    <row r="46" spans="1:20">
      <c r="A46" s="22" t="s">
        <v>111</v>
      </c>
      <c r="B46"/>
      <c r="C46" s="44">
        <f>SUM(C28:C45)</f>
        <v>455.88</v>
      </c>
      <c r="F46" s="44">
        <f>SUM(F28:F45)</f>
        <v>298.61</v>
      </c>
      <c r="J46" s="44">
        <f>SUM(J28:J43)</f>
        <v>420.05</v>
      </c>
      <c r="K46" s="113"/>
      <c r="L46" s="113"/>
      <c r="M46" s="44">
        <f>SUM(M28:M43)</f>
        <v>315.1</v>
      </c>
      <c r="P46" s="37"/>
      <c r="Q46" s="82">
        <f>SUM(Q28:Q37)</f>
        <v>262.7</v>
      </c>
      <c r="R46" s="113"/>
      <c r="S46" s="113"/>
      <c r="T46" s="82">
        <f>SUM(T28:T41)</f>
        <v>289.95</v>
      </c>
    </row>
  </sheetData>
  <mergeCells count="18">
    <mergeCell ref="B1:F1"/>
    <mergeCell ref="I1:M1"/>
    <mergeCell ref="P1:T1"/>
    <mergeCell ref="B2:C2"/>
    <mergeCell ref="E2:F2"/>
    <mergeCell ref="I2:J2"/>
    <mergeCell ref="L2:M2"/>
    <mergeCell ref="P2:Q2"/>
    <mergeCell ref="S2:T2"/>
    <mergeCell ref="B25:F25"/>
    <mergeCell ref="I25:M25"/>
    <mergeCell ref="P25:T25"/>
    <mergeCell ref="B26:C26"/>
    <mergeCell ref="E26:F26"/>
    <mergeCell ref="I26:J26"/>
    <mergeCell ref="L26:M26"/>
    <mergeCell ref="P26:Q26"/>
    <mergeCell ref="S26:T26"/>
  </mergeCells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6"/>
  <sheetViews>
    <sheetView workbookViewId="0">
      <selection activeCell="R16" sqref="R16"/>
    </sheetView>
  </sheetViews>
  <sheetFormatPr defaultColWidth="9" defaultRowHeight="15.75"/>
  <cols>
    <col min="1" max="1" width="13.675" style="37" customWidth="1"/>
    <col min="2" max="2" width="9" style="38"/>
    <col min="3" max="7" width="10" style="38" customWidth="1"/>
    <col min="8" max="8" width="11.375" style="38" customWidth="1"/>
    <col min="9" max="10" width="10" style="38" customWidth="1"/>
    <col min="11" max="11" width="9" style="37"/>
    <col min="12" max="12" width="16.4666666666667" style="37" customWidth="1"/>
    <col min="13" max="13" width="12.625" style="37"/>
    <col min="14" max="17" width="9" style="37"/>
    <col min="18" max="18" width="12.625" style="37"/>
    <col min="19" max="19" width="11" style="37" customWidth="1"/>
    <col min="20" max="20" width="9" style="37"/>
    <col min="21" max="21" width="15.1416666666667" style="37" customWidth="1"/>
    <col min="22" max="27" width="9" style="37"/>
    <col min="28" max="28" width="10.125" style="37" customWidth="1"/>
    <col min="29" max="16384" width="9" style="37"/>
  </cols>
  <sheetData>
    <row r="1" ht="22" customHeight="1"/>
    <row r="2" ht="20" customHeight="1" spans="2:21">
      <c r="B2" s="39" t="s">
        <v>117</v>
      </c>
      <c r="C2" s="40" t="s">
        <v>118</v>
      </c>
      <c r="D2" s="40"/>
      <c r="E2" s="40" t="s">
        <v>63</v>
      </c>
      <c r="F2" s="40" t="s">
        <v>64</v>
      </c>
      <c r="G2" s="40" t="s">
        <v>65</v>
      </c>
      <c r="H2" s="40" t="s">
        <v>66</v>
      </c>
      <c r="I2" s="40" t="s">
        <v>67</v>
      </c>
      <c r="J2" s="40" t="s">
        <v>68</v>
      </c>
      <c r="K2" s="41"/>
      <c r="O2" s="42"/>
      <c r="P2" s="22"/>
      <c r="Q2" s="22"/>
      <c r="R2" s="43"/>
      <c r="T2" s="44"/>
      <c r="U2" s="43"/>
    </row>
    <row r="3" ht="20" customHeight="1" spans="2:21">
      <c r="B3" s="45">
        <v>40</v>
      </c>
      <c r="C3" s="46" t="s">
        <v>119</v>
      </c>
      <c r="D3" s="47"/>
      <c r="E3" s="48">
        <v>232.63</v>
      </c>
      <c r="F3" s="48">
        <v>264.78</v>
      </c>
      <c r="G3" s="48">
        <v>221.13</v>
      </c>
      <c r="H3" s="48">
        <v>218.4</v>
      </c>
      <c r="I3" s="48">
        <v>219.58</v>
      </c>
      <c r="J3" s="48">
        <v>210.94</v>
      </c>
      <c r="K3" s="49">
        <v>0.2033</v>
      </c>
      <c r="O3" s="50"/>
      <c r="P3" s="35"/>
      <c r="Q3" s="35"/>
      <c r="R3" s="35"/>
      <c r="T3" s="44"/>
      <c r="U3" s="22"/>
    </row>
    <row r="4" s="35" customFormat="1" ht="20" customHeight="1" spans="2:21">
      <c r="B4" s="51"/>
      <c r="C4" s="50"/>
      <c r="D4" s="52" t="s">
        <v>120</v>
      </c>
      <c r="E4" s="53">
        <v>2.82842712474619</v>
      </c>
      <c r="F4" s="54">
        <v>4</v>
      </c>
      <c r="G4" s="53">
        <v>2.82842712474619</v>
      </c>
      <c r="H4" s="53">
        <v>2.82842712474619</v>
      </c>
      <c r="I4" s="53">
        <v>2.82842712474619</v>
      </c>
      <c r="J4" s="54">
        <v>0</v>
      </c>
      <c r="K4" s="55"/>
      <c r="O4" s="42"/>
      <c r="P4" s="48"/>
      <c r="Q4" s="48"/>
      <c r="R4" s="43"/>
      <c r="T4" s="44"/>
      <c r="U4" s="22"/>
    </row>
    <row r="5" ht="20" customHeight="1" spans="2:21">
      <c r="B5" s="45"/>
      <c r="C5" s="42" t="s">
        <v>121</v>
      </c>
      <c r="D5" s="47"/>
      <c r="E5" s="48">
        <v>227.19</v>
      </c>
      <c r="F5" s="48">
        <v>234.89</v>
      </c>
      <c r="G5" s="48">
        <v>210.05</v>
      </c>
      <c r="H5" s="48">
        <v>211.53</v>
      </c>
      <c r="I5" s="48">
        <v>211.7</v>
      </c>
      <c r="J5" s="48">
        <v>195.28</v>
      </c>
      <c r="K5" s="49">
        <v>0.0768</v>
      </c>
      <c r="O5" s="50"/>
      <c r="P5" s="35"/>
      <c r="Q5" s="35"/>
      <c r="R5" s="35"/>
      <c r="T5" s="44"/>
      <c r="U5" s="22"/>
    </row>
    <row r="6" s="35" customFormat="1" ht="20" customHeight="1" spans="2:21">
      <c r="B6" s="51"/>
      <c r="C6" s="50"/>
      <c r="D6" s="52" t="s">
        <v>120</v>
      </c>
      <c r="E6" s="50">
        <v>4</v>
      </c>
      <c r="F6" s="50">
        <v>2.83</v>
      </c>
      <c r="G6" s="50">
        <v>2.83</v>
      </c>
      <c r="H6" s="54">
        <v>5.66</v>
      </c>
      <c r="I6" s="50">
        <v>4</v>
      </c>
      <c r="J6" s="54">
        <v>2.83</v>
      </c>
      <c r="K6" s="55"/>
      <c r="M6" s="53"/>
      <c r="O6" s="42"/>
      <c r="P6" s="48"/>
      <c r="Q6" s="48"/>
      <c r="R6" s="43"/>
      <c r="T6" s="44"/>
      <c r="U6" s="22"/>
    </row>
    <row r="7" ht="20" customHeight="1" spans="2:21">
      <c r="B7" s="45"/>
      <c r="C7" s="42" t="s">
        <v>122</v>
      </c>
      <c r="D7" s="47"/>
      <c r="E7" s="48">
        <v>251.71</v>
      </c>
      <c r="F7" s="48">
        <v>279.01</v>
      </c>
      <c r="G7" s="48">
        <v>235.06</v>
      </c>
      <c r="H7" s="48">
        <v>216.23</v>
      </c>
      <c r="I7" s="48">
        <v>231.13</v>
      </c>
      <c r="J7" s="48">
        <v>209.01</v>
      </c>
      <c r="K7" s="49">
        <v>0.2509</v>
      </c>
      <c r="M7" s="53"/>
      <c r="N7" s="48"/>
      <c r="O7" s="43"/>
      <c r="P7" s="35"/>
      <c r="Q7" s="35"/>
      <c r="R7" s="35"/>
      <c r="T7" s="44"/>
      <c r="U7" s="22"/>
    </row>
    <row r="8" s="35" customFormat="1" ht="20" customHeight="1" spans="2:21">
      <c r="B8" s="51"/>
      <c r="C8" s="50"/>
      <c r="D8" s="52" t="s">
        <v>120</v>
      </c>
      <c r="E8" s="50">
        <v>2.83</v>
      </c>
      <c r="F8" s="56">
        <v>6.32</v>
      </c>
      <c r="G8" s="50">
        <v>6.32</v>
      </c>
      <c r="H8" s="50">
        <v>4</v>
      </c>
      <c r="I8" s="50">
        <v>4</v>
      </c>
      <c r="J8" s="56">
        <v>0</v>
      </c>
      <c r="K8" s="55"/>
      <c r="M8" s="53"/>
      <c r="N8" s="48"/>
      <c r="O8" s="43"/>
      <c r="T8" s="44"/>
      <c r="U8" s="22"/>
    </row>
    <row r="9" s="35" customFormat="1" ht="20" customHeight="1" spans="2:21">
      <c r="B9" s="51"/>
      <c r="C9" s="57"/>
      <c r="D9" s="57"/>
      <c r="E9" s="57"/>
      <c r="F9" s="57"/>
      <c r="G9" s="57"/>
      <c r="H9" s="57"/>
      <c r="I9" s="57"/>
      <c r="J9" s="57"/>
      <c r="K9" s="55"/>
      <c r="M9" s="53"/>
      <c r="N9" s="48"/>
      <c r="O9" s="43"/>
      <c r="P9" s="48"/>
      <c r="Q9" s="48"/>
      <c r="R9" s="43"/>
      <c r="T9" s="44"/>
      <c r="U9" s="22"/>
    </row>
    <row r="10" ht="20" customHeight="1" spans="2:21">
      <c r="B10" s="45">
        <v>80</v>
      </c>
      <c r="C10" s="46" t="s">
        <v>123</v>
      </c>
      <c r="D10" s="47"/>
      <c r="E10" s="48">
        <v>499.74</v>
      </c>
      <c r="F10" s="48">
        <v>556.01</v>
      </c>
      <c r="G10" s="48">
        <v>480.19</v>
      </c>
      <c r="H10" s="48">
        <v>478.35</v>
      </c>
      <c r="I10" s="48">
        <v>471.1</v>
      </c>
      <c r="J10" s="48">
        <v>460.12</v>
      </c>
      <c r="K10" s="49">
        <v>0.1725</v>
      </c>
      <c r="M10" s="53"/>
      <c r="T10" s="44"/>
      <c r="U10" s="22"/>
    </row>
    <row r="11" s="35" customFormat="1" ht="20" customHeight="1" spans="2:21">
      <c r="B11" s="51"/>
      <c r="C11" s="50"/>
      <c r="D11" s="50" t="s">
        <v>120</v>
      </c>
      <c r="E11" s="50">
        <v>4</v>
      </c>
      <c r="F11" s="56">
        <v>7.48</v>
      </c>
      <c r="G11" s="50">
        <v>5.66</v>
      </c>
      <c r="H11" s="50">
        <v>6.32</v>
      </c>
      <c r="I11" s="50">
        <v>5.66</v>
      </c>
      <c r="J11" s="56">
        <v>4</v>
      </c>
      <c r="K11" s="55"/>
      <c r="M11" s="53"/>
      <c r="N11" s="48"/>
      <c r="O11" s="43"/>
      <c r="P11" s="48"/>
      <c r="Q11" s="48"/>
      <c r="R11" s="43"/>
      <c r="T11" s="44"/>
      <c r="U11" s="22"/>
    </row>
    <row r="12" ht="20" customHeight="1" spans="2:21">
      <c r="B12" s="45"/>
      <c r="C12" s="42" t="s">
        <v>124</v>
      </c>
      <c r="D12" s="47"/>
      <c r="E12" s="48">
        <v>476.58</v>
      </c>
      <c r="F12" s="48">
        <v>550.82</v>
      </c>
      <c r="G12" s="48">
        <v>467.22</v>
      </c>
      <c r="H12" s="48">
        <v>456.89</v>
      </c>
      <c r="I12" s="48">
        <v>449.9</v>
      </c>
      <c r="J12" s="48">
        <v>446.28</v>
      </c>
      <c r="K12" s="49">
        <v>0.1898</v>
      </c>
      <c r="O12" s="50"/>
      <c r="T12" s="44"/>
      <c r="U12" s="22"/>
    </row>
    <row r="13" s="35" customFormat="1" ht="20" customHeight="1" spans="2:21">
      <c r="B13" s="51"/>
      <c r="C13" s="50"/>
      <c r="D13" s="50" t="s">
        <v>120</v>
      </c>
      <c r="E13" s="50">
        <v>4</v>
      </c>
      <c r="F13" s="56">
        <v>5.66</v>
      </c>
      <c r="G13" s="50">
        <v>4.9</v>
      </c>
      <c r="H13" s="50">
        <v>4.9</v>
      </c>
      <c r="I13" s="50">
        <v>4</v>
      </c>
      <c r="J13" s="56">
        <v>4</v>
      </c>
      <c r="K13" s="55"/>
      <c r="O13" s="42"/>
      <c r="P13" s="48"/>
      <c r="Q13" s="48"/>
      <c r="R13" s="43"/>
      <c r="T13" s="44"/>
      <c r="U13" s="22"/>
    </row>
    <row r="14" ht="20" customHeight="1" spans="2:21">
      <c r="B14" s="45"/>
      <c r="C14" s="42" t="s">
        <v>125</v>
      </c>
      <c r="D14" s="47"/>
      <c r="E14" s="48">
        <v>511.29</v>
      </c>
      <c r="F14" s="48">
        <v>570.15</v>
      </c>
      <c r="G14" s="48">
        <v>492.07</v>
      </c>
      <c r="H14" s="48">
        <v>483.03</v>
      </c>
      <c r="I14" s="48">
        <v>479</v>
      </c>
      <c r="J14" s="48">
        <v>470.12</v>
      </c>
      <c r="K14" s="49">
        <v>0.1754</v>
      </c>
      <c r="O14" s="35"/>
      <c r="P14" s="35"/>
      <c r="Q14" s="35"/>
      <c r="R14" s="35"/>
      <c r="T14" s="44"/>
      <c r="U14" s="22"/>
    </row>
    <row r="15" s="35" customFormat="1" ht="20" customHeight="1" spans="2:21">
      <c r="B15" s="51"/>
      <c r="C15" s="50"/>
      <c r="D15" s="52" t="s">
        <v>120</v>
      </c>
      <c r="E15" s="50">
        <v>4</v>
      </c>
      <c r="F15" s="56">
        <v>5.66</v>
      </c>
      <c r="G15" s="50">
        <v>2.83</v>
      </c>
      <c r="H15" s="50">
        <v>4</v>
      </c>
      <c r="I15" s="50">
        <v>2.83</v>
      </c>
      <c r="J15" s="56">
        <v>4</v>
      </c>
      <c r="K15" s="55"/>
      <c r="T15" s="44"/>
      <c r="U15" s="22"/>
    </row>
    <row r="16" s="35" customFormat="1" ht="20" customHeight="1" spans="2:21">
      <c r="B16" s="51"/>
      <c r="C16" s="57"/>
      <c r="D16" s="57"/>
      <c r="E16" s="57"/>
      <c r="F16" s="57"/>
      <c r="G16" s="57"/>
      <c r="H16" s="57"/>
      <c r="I16" s="57"/>
      <c r="J16" s="57"/>
      <c r="K16" s="55"/>
      <c r="O16" s="48"/>
      <c r="P16" s="48"/>
      <c r="Q16" s="48"/>
      <c r="R16" s="43"/>
      <c r="T16" s="44"/>
      <c r="U16" s="22"/>
    </row>
    <row r="17" ht="20" customHeight="1" spans="1:29">
      <c r="B17" s="45">
        <v>120</v>
      </c>
      <c r="C17" s="48" t="s">
        <v>126</v>
      </c>
      <c r="D17" s="47"/>
      <c r="E17" s="48">
        <v>950.37</v>
      </c>
      <c r="F17" s="48">
        <v>973.24</v>
      </c>
      <c r="G17" s="48">
        <v>915.43</v>
      </c>
      <c r="H17" s="48">
        <v>920.05</v>
      </c>
      <c r="I17" s="48">
        <v>913.65</v>
      </c>
      <c r="J17" s="48">
        <v>898.18</v>
      </c>
      <c r="K17" s="49">
        <v>0.0188436035524289</v>
      </c>
      <c r="O17" s="50"/>
      <c r="P17" s="35"/>
      <c r="Q17" s="35"/>
      <c r="R17" s="35"/>
      <c r="T17" s="44"/>
      <c r="U17" s="22"/>
    </row>
    <row r="18" s="35" customFormat="1" ht="20" customHeight="1" spans="1:29">
      <c r="B18" s="51"/>
      <c r="C18" s="50"/>
      <c r="D18" s="52" t="s">
        <v>120</v>
      </c>
      <c r="E18" s="50">
        <v>14.14</v>
      </c>
      <c r="F18" s="50">
        <v>8.49</v>
      </c>
      <c r="G18" s="56">
        <v>21.54</v>
      </c>
      <c r="H18" s="50">
        <v>8.94</v>
      </c>
      <c r="I18" s="50">
        <v>10.95</v>
      </c>
      <c r="J18" s="56">
        <v>8.49</v>
      </c>
      <c r="K18" s="55"/>
      <c r="O18" s="48"/>
      <c r="P18" s="48"/>
      <c r="Q18" s="48"/>
      <c r="R18" s="43"/>
      <c r="T18" s="44"/>
      <c r="U18" s="22"/>
    </row>
    <row r="19" ht="20" customHeight="1" spans="1:29">
      <c r="B19" s="45"/>
      <c r="C19" s="48" t="s">
        <v>127</v>
      </c>
      <c r="D19" s="47"/>
      <c r="E19" s="48">
        <v>965.09</v>
      </c>
      <c r="F19" s="48">
        <v>1018.84</v>
      </c>
      <c r="G19" s="48">
        <v>939.18</v>
      </c>
      <c r="H19" s="48">
        <v>933.47</v>
      </c>
      <c r="I19" s="48">
        <v>921.1</v>
      </c>
      <c r="J19" s="48">
        <v>908.97</v>
      </c>
      <c r="K19" s="49">
        <v>0.107838325939304</v>
      </c>
      <c r="O19" s="50"/>
      <c r="P19" s="35"/>
      <c r="Q19" s="35"/>
      <c r="R19" s="35"/>
      <c r="T19" s="44"/>
      <c r="U19" s="22"/>
    </row>
    <row r="20" s="35" customFormat="1" ht="20" customHeight="1" spans="1:29">
      <c r="B20" s="51"/>
      <c r="C20" s="50"/>
      <c r="D20" s="52" t="s">
        <v>120</v>
      </c>
      <c r="E20" s="50">
        <v>4</v>
      </c>
      <c r="F20" s="56">
        <v>5.66</v>
      </c>
      <c r="G20" s="50">
        <v>4.9</v>
      </c>
      <c r="H20" s="50">
        <v>4.9</v>
      </c>
      <c r="I20" s="50">
        <v>5.66</v>
      </c>
      <c r="J20" s="56">
        <v>4</v>
      </c>
      <c r="K20" s="55"/>
      <c r="O20" s="48"/>
      <c r="P20" s="48"/>
      <c r="Q20" s="48"/>
      <c r="R20" s="43"/>
      <c r="T20" s="44"/>
      <c r="U20" s="22"/>
    </row>
    <row r="21" ht="20" customHeight="1" spans="1:29">
      <c r="B21" s="45"/>
      <c r="C21" s="48" t="s">
        <v>128</v>
      </c>
      <c r="D21" s="47"/>
      <c r="E21" s="48">
        <v>1020.26</v>
      </c>
      <c r="F21" s="48">
        <v>1060.6</v>
      </c>
      <c r="G21" s="48">
        <v>993.23</v>
      </c>
      <c r="H21" s="48">
        <v>969.52</v>
      </c>
      <c r="I21" s="48">
        <v>948.3</v>
      </c>
      <c r="J21" s="48">
        <v>921.43</v>
      </c>
      <c r="K21" s="49">
        <v>0.0722893992328062</v>
      </c>
      <c r="P21" s="35"/>
      <c r="Q21" s="35"/>
      <c r="R21" s="35"/>
    </row>
    <row r="22" s="35" customFormat="1" ht="20" customHeight="1" spans="1:29">
      <c r="B22" s="58"/>
      <c r="C22" s="59"/>
      <c r="D22" s="60" t="s">
        <v>120</v>
      </c>
      <c r="E22" s="59">
        <v>4</v>
      </c>
      <c r="F22" s="59">
        <v>5.66</v>
      </c>
      <c r="G22" s="61">
        <v>8.94</v>
      </c>
      <c r="H22" s="59">
        <v>3.46</v>
      </c>
      <c r="I22" s="59">
        <v>3.46</v>
      </c>
      <c r="J22" s="61">
        <v>5.66</v>
      </c>
      <c r="K22" s="62"/>
      <c r="P22" s="37"/>
      <c r="Q22" s="37"/>
      <c r="R22" s="37"/>
    </row>
    <row r="25" s="36" customFormat="1" spans="1:29">
      <c r="A25" s="63"/>
      <c r="B25" s="64" t="s">
        <v>129</v>
      </c>
      <c r="C25" s="65"/>
      <c r="D25" s="65"/>
      <c r="E25" s="65"/>
      <c r="F25" s="65"/>
      <c r="G25" s="65"/>
      <c r="H25" s="66"/>
      <c r="I25" s="67"/>
      <c r="J25" s="68"/>
      <c r="K25" s="67"/>
      <c r="L25" s="64" t="s">
        <v>130</v>
      </c>
      <c r="M25" s="65"/>
      <c r="N25" s="65"/>
      <c r="O25" s="65"/>
      <c r="P25" s="65"/>
      <c r="Q25" s="65"/>
      <c r="R25" s="66"/>
      <c r="U25" s="66"/>
      <c r="V25" s="64" t="s">
        <v>131</v>
      </c>
      <c r="W25" s="65"/>
      <c r="X25" s="65"/>
      <c r="Y25" s="65"/>
      <c r="Z25" s="65"/>
      <c r="AA25" s="65"/>
      <c r="AB25" s="69"/>
      <c r="AC25" s="66"/>
    </row>
    <row r="26" spans="1:29">
      <c r="A26" s="70" t="s">
        <v>86</v>
      </c>
      <c r="B26" s="71" t="s">
        <v>87</v>
      </c>
      <c r="C26" s="72" t="s">
        <v>89</v>
      </c>
      <c r="D26" s="73" t="s">
        <v>88</v>
      </c>
      <c r="E26" s="73"/>
      <c r="F26" s="73"/>
      <c r="G26" s="73"/>
      <c r="H26" s="74"/>
      <c r="I26" s="75"/>
      <c r="K26" s="70" t="s">
        <v>86</v>
      </c>
      <c r="L26" s="76" t="s">
        <v>87</v>
      </c>
      <c r="M26" s="76"/>
      <c r="N26" s="77" t="s">
        <v>89</v>
      </c>
      <c r="O26" s="78" t="s">
        <v>88</v>
      </c>
      <c r="P26" s="78"/>
      <c r="Q26" s="78"/>
      <c r="R26" s="70"/>
      <c r="U26" s="70" t="s">
        <v>86</v>
      </c>
      <c r="V26" s="71" t="s">
        <v>87</v>
      </c>
      <c r="W26" s="71"/>
      <c r="X26" s="72" t="s">
        <v>89</v>
      </c>
      <c r="Y26" s="73" t="s">
        <v>88</v>
      </c>
      <c r="Z26" s="73"/>
      <c r="AA26" s="73"/>
      <c r="AB26" s="53"/>
      <c r="AC26" s="74"/>
    </row>
    <row r="27" ht="23" customHeight="1" spans="1:29">
      <c r="A27" s="79" t="s">
        <v>132</v>
      </c>
      <c r="B27" s="74">
        <v>1</v>
      </c>
      <c r="C27" s="74">
        <v>2</v>
      </c>
      <c r="D27" s="74">
        <v>3</v>
      </c>
      <c r="E27" s="74">
        <v>4</v>
      </c>
      <c r="F27" s="74">
        <v>5</v>
      </c>
      <c r="G27" s="74">
        <v>6</v>
      </c>
      <c r="H27" s="80" t="s">
        <v>120</v>
      </c>
      <c r="K27" s="79" t="s">
        <v>132</v>
      </c>
      <c r="L27" s="81">
        <v>1</v>
      </c>
      <c r="M27" s="81">
        <v>2</v>
      </c>
      <c r="N27" s="81">
        <v>3</v>
      </c>
      <c r="O27" s="81">
        <v>4</v>
      </c>
      <c r="P27" s="81">
        <v>5</v>
      </c>
      <c r="Q27" s="81">
        <v>6</v>
      </c>
      <c r="R27" s="80" t="s">
        <v>120</v>
      </c>
      <c r="U27" s="79" t="s">
        <v>132</v>
      </c>
      <c r="V27" s="81">
        <v>1</v>
      </c>
      <c r="W27" s="81">
        <v>2</v>
      </c>
      <c r="X27" s="81">
        <v>3</v>
      </c>
      <c r="Y27" s="81">
        <v>4</v>
      </c>
      <c r="Z27" s="81">
        <v>5</v>
      </c>
      <c r="AA27" s="81">
        <v>6</v>
      </c>
      <c r="AB27" s="80" t="s">
        <v>120</v>
      </c>
      <c r="AC27" s="74"/>
    </row>
    <row r="28" spans="1:29">
      <c r="A28" s="46" t="s">
        <v>119</v>
      </c>
      <c r="B28" s="74">
        <v>8</v>
      </c>
      <c r="C28" s="74">
        <v>8</v>
      </c>
      <c r="D28" s="74">
        <v>6</v>
      </c>
      <c r="E28" s="74">
        <v>6</v>
      </c>
      <c r="F28" s="74">
        <v>6</v>
      </c>
      <c r="G28" s="74">
        <v>6</v>
      </c>
      <c r="H28" s="74" t="s">
        <v>133</v>
      </c>
      <c r="I28" s="75"/>
      <c r="K28" s="46" t="s">
        <v>123</v>
      </c>
      <c r="L28" s="81">
        <v>10</v>
      </c>
      <c r="M28" s="81">
        <v>10</v>
      </c>
      <c r="N28" s="81">
        <v>16</v>
      </c>
      <c r="O28" s="81">
        <v>16</v>
      </c>
      <c r="P28" s="81">
        <v>14</v>
      </c>
      <c r="Q28" s="81">
        <v>14</v>
      </c>
      <c r="R28" s="74" t="s">
        <v>133</v>
      </c>
      <c r="U28" s="70" t="s">
        <v>126</v>
      </c>
      <c r="V28" s="74">
        <v>24</v>
      </c>
      <c r="W28" s="74">
        <v>24</v>
      </c>
      <c r="X28" s="74">
        <v>28</v>
      </c>
      <c r="Y28" s="74">
        <v>16</v>
      </c>
      <c r="Z28" s="74">
        <v>14</v>
      </c>
      <c r="AA28" s="74">
        <v>14</v>
      </c>
      <c r="AB28" s="74" t="s">
        <v>133</v>
      </c>
      <c r="AC28" s="74"/>
    </row>
    <row r="29" spans="1:29">
      <c r="A29" s="70" t="s">
        <v>63</v>
      </c>
      <c r="B29" s="74">
        <v>8</v>
      </c>
      <c r="C29" s="74">
        <v>8</v>
      </c>
      <c r="D29" s="74">
        <v>6</v>
      </c>
      <c r="E29" s="74">
        <v>4</v>
      </c>
      <c r="F29" s="74">
        <v>6</v>
      </c>
      <c r="G29" s="74">
        <v>8</v>
      </c>
      <c r="H29" s="53">
        <f>SQRT((B28-B29)*(B28-B29)+(C28-C29)*(C28-C29)+(D28-D29)*(D28-D29)+(E28-E29)*(E28-E29)+(F28-F29)*(F28-F29)+(G28-G29)*(G28-G29))</f>
        <v>2.82842712474619</v>
      </c>
      <c r="I29" s="75"/>
      <c r="J29" s="82"/>
      <c r="K29" s="70" t="s">
        <v>63</v>
      </c>
      <c r="L29" s="81">
        <v>12</v>
      </c>
      <c r="M29" s="81">
        <v>8</v>
      </c>
      <c r="N29" s="81">
        <v>16</v>
      </c>
      <c r="O29" s="81">
        <v>18</v>
      </c>
      <c r="P29" s="81">
        <v>12</v>
      </c>
      <c r="Q29" s="81">
        <v>14</v>
      </c>
      <c r="R29" s="53">
        <f>SQRT((L28-L29)*(L28-L29)+(M28-M29)*(M28-M29)+(N28-N29)*(N28-N29)+(O28-O29)*(O28-O29)+(P28-P29)*(P28-P29)+(Q28-Q29)*(Q28-Q29))</f>
        <v>4</v>
      </c>
      <c r="U29" s="70" t="s">
        <v>63</v>
      </c>
      <c r="V29" s="74">
        <v>34</v>
      </c>
      <c r="W29" s="74">
        <v>14</v>
      </c>
      <c r="X29" s="74">
        <v>28</v>
      </c>
      <c r="Y29" s="74">
        <v>16</v>
      </c>
      <c r="Z29" s="74">
        <v>14</v>
      </c>
      <c r="AA29" s="74">
        <v>14</v>
      </c>
      <c r="AB29" s="53">
        <f>SQRT((V28-V29)*(V28-V29)+(W28-W29)*(W28-W29)+(X28-X29)*(X28-X29)+(Y28-Y29)*(Y28-Y29)+(Z28-Z29)*(Z28-Z29)+(AA28-AA29)*(AA28-AA29))</f>
        <v>14.142135623731</v>
      </c>
      <c r="AC29" s="74"/>
    </row>
    <row r="30" spans="1:29">
      <c r="A30" s="70" t="s">
        <v>64</v>
      </c>
      <c r="B30" s="74">
        <v>8</v>
      </c>
      <c r="C30" s="74">
        <v>8</v>
      </c>
      <c r="D30" s="74">
        <v>4</v>
      </c>
      <c r="E30" s="74">
        <v>8</v>
      </c>
      <c r="F30" s="74">
        <v>8</v>
      </c>
      <c r="G30" s="74">
        <v>4</v>
      </c>
      <c r="H30" s="53">
        <f>SQRT((B28-B30)*(B28-B30)+(C28-C30)*(C28-C30)+(D28-D30)*(D28-D30)+(E28-E30)*(E28-E30)+(F28-F30)*(F28-F30)+(G28-G30)*(G28-G30))</f>
        <v>4</v>
      </c>
      <c r="I30" s="83"/>
      <c r="J30" s="82"/>
      <c r="K30" s="70" t="s">
        <v>64</v>
      </c>
      <c r="L30" s="81">
        <v>10</v>
      </c>
      <c r="M30" s="81">
        <v>10</v>
      </c>
      <c r="N30" s="81">
        <v>16</v>
      </c>
      <c r="O30" s="81">
        <v>22</v>
      </c>
      <c r="P30" s="81">
        <v>12</v>
      </c>
      <c r="Q30" s="81">
        <v>10</v>
      </c>
      <c r="R30" s="53">
        <f>SQRT((L28-L30)*(L28-L30)+(M28-M30)*(M28-M30)+(N28-N30)*(N28-N30)+(O28-O30)*(O28-O30)+(P28-P30)*(P28-P30)+(Q28-Q30)*(Q28-Q30))</f>
        <v>7.48331477354788</v>
      </c>
      <c r="U30" s="70" t="s">
        <v>64</v>
      </c>
      <c r="V30" s="74">
        <v>30</v>
      </c>
      <c r="W30" s="74">
        <v>18</v>
      </c>
      <c r="X30" s="74">
        <v>28</v>
      </c>
      <c r="Y30" s="74">
        <v>16</v>
      </c>
      <c r="Z30" s="74">
        <v>14</v>
      </c>
      <c r="AA30" s="74">
        <v>14</v>
      </c>
      <c r="AB30" s="53">
        <f>SQRT((V28-V30)*(V28-V30)+(W28-W30)*(W28-W30)+(X28-X30)*(X28-X30)+(Y28-Y30)*(Y28-Y30)+(Z28-Z30)*(Z28-Z30)+(AA28-AA30)*(AA28-AA30))</f>
        <v>8.48528137423857</v>
      </c>
      <c r="AC30" s="74"/>
    </row>
    <row r="31" spans="1:29">
      <c r="A31" s="70" t="s">
        <v>65</v>
      </c>
      <c r="B31" s="74">
        <v>8</v>
      </c>
      <c r="C31" s="74">
        <v>8</v>
      </c>
      <c r="D31" s="74">
        <v>6</v>
      </c>
      <c r="E31" s="74">
        <v>6</v>
      </c>
      <c r="F31" s="74">
        <v>8</v>
      </c>
      <c r="G31" s="74">
        <v>4</v>
      </c>
      <c r="H31" s="53">
        <f>SQRT((B28-B31)*(B28-B31)+(C28-C31)*(C28-C31)+(D28-D31)*(D28-D31)+(E28-E31)*(E28-E31)+(F28-F31)*(F28-F31)+(G28-G31)*(G28-G31))</f>
        <v>2.82842712474619</v>
      </c>
      <c r="I31" s="75"/>
      <c r="J31" s="82"/>
      <c r="K31" s="70" t="s">
        <v>65</v>
      </c>
      <c r="L31" s="81">
        <v>14</v>
      </c>
      <c r="M31" s="81">
        <v>6</v>
      </c>
      <c r="N31" s="81">
        <v>16</v>
      </c>
      <c r="O31" s="81">
        <v>16</v>
      </c>
      <c r="P31" s="81">
        <v>14</v>
      </c>
      <c r="Q31" s="81">
        <v>14</v>
      </c>
      <c r="R31" s="53">
        <f>SQRT((L28-L31)*(L28-L31)+(M28-M31)*(M28-M31)+(N28-N31)*(N28-N31)+(O28-O31)*(O28-O31)+(P28-P31)*(P28-P31)+(Q28-Q31)*(Q28-Q31))</f>
        <v>5.65685424949238</v>
      </c>
      <c r="U31" s="70" t="s">
        <v>65</v>
      </c>
      <c r="V31" s="74">
        <v>38</v>
      </c>
      <c r="W31" s="74">
        <v>10</v>
      </c>
      <c r="X31" s="74">
        <v>28</v>
      </c>
      <c r="Y31" s="74">
        <v>22</v>
      </c>
      <c r="Z31" s="74">
        <v>14</v>
      </c>
      <c r="AA31" s="74">
        <v>8</v>
      </c>
      <c r="AB31" s="53">
        <f>SQRT((V28-V31)*(V28-V31)+(W28-W31)*(W28-W31)+(X28-X31)*(X28-X31)+(Y28-Y31)*(Y28-Y31)+(Z28-Z31)*(Z28-Z31)+(AA28-AA31)*(AA28-AA31))</f>
        <v>21.540659228538</v>
      </c>
      <c r="AC31" s="74"/>
    </row>
    <row r="32" spans="1:29">
      <c r="A32" s="70" t="s">
        <v>66</v>
      </c>
      <c r="B32" s="74">
        <v>8</v>
      </c>
      <c r="C32" s="74">
        <v>8</v>
      </c>
      <c r="D32" s="74">
        <v>6</v>
      </c>
      <c r="E32" s="74">
        <v>4</v>
      </c>
      <c r="F32" s="74">
        <v>8</v>
      </c>
      <c r="G32" s="74">
        <v>6</v>
      </c>
      <c r="H32" s="53">
        <f>SQRT((B28-B32)*(B28-B32)+(C28-C32)*(C28-C32)+(D28-D32)*(D28-D32)+(E28-E32)*(E28-E32)+(F28-F32)*(F28-F32)+(G28-G32)*(G28-G32))</f>
        <v>2.82842712474619</v>
      </c>
      <c r="I32" s="75"/>
      <c r="J32" s="82"/>
      <c r="K32" s="70" t="s">
        <v>66</v>
      </c>
      <c r="L32" s="81">
        <v>12</v>
      </c>
      <c r="M32" s="81">
        <v>8</v>
      </c>
      <c r="N32" s="81">
        <v>16</v>
      </c>
      <c r="O32" s="81">
        <v>20</v>
      </c>
      <c r="P32" s="81">
        <v>10</v>
      </c>
      <c r="Q32" s="81">
        <v>14</v>
      </c>
      <c r="R32" s="53">
        <f>SQRT((L28-L32)*(L28-L32)+(M28-M32)*(M28-M32)+(N28-N32)*(N28-N32)+(O28-O32)*(O28-O32)+(P28-P32)*(P28-P32)+(Q28-Q32)*(Q28-Q32))</f>
        <v>6.32455532033676</v>
      </c>
      <c r="U32" s="70" t="s">
        <v>66</v>
      </c>
      <c r="V32" s="74">
        <v>30</v>
      </c>
      <c r="W32" s="74">
        <v>18</v>
      </c>
      <c r="X32" s="74">
        <v>28</v>
      </c>
      <c r="Y32" s="74">
        <v>16</v>
      </c>
      <c r="Z32" s="74">
        <v>14</v>
      </c>
      <c r="AA32" s="74">
        <v>14</v>
      </c>
      <c r="AB32" s="53">
        <f>SQRT((V28-V32)*(V28-V32)+(W28-W32)*(W28-W32)+(X28-X32)*(X28-X32)+(Y28-Y32)*(Y28-Y32)+(Z28-Z32)*(Z28-Z32)+(AA28-AA32)*(AA28-AA32))</f>
        <v>8.48528137423857</v>
      </c>
      <c r="AC32" s="74"/>
    </row>
    <row r="33" spans="1:29">
      <c r="A33" s="70" t="s">
        <v>67</v>
      </c>
      <c r="B33" s="74">
        <v>8</v>
      </c>
      <c r="C33" s="74">
        <v>8</v>
      </c>
      <c r="D33" s="74">
        <v>6</v>
      </c>
      <c r="E33" s="74">
        <v>6</v>
      </c>
      <c r="F33" s="74">
        <v>8</v>
      </c>
      <c r="G33" s="74">
        <v>4</v>
      </c>
      <c r="H33" s="53">
        <f>SQRT((B28-B33)*(B28-B33)+(C28-C33)*(C28-C33)+(D28-D33)*(D28-D33)+(E28-E33)*(E28-E33)+(F28-F33)*(F28-F33)+(G28-G33)*(G28-G33))</f>
        <v>2.82842712474619</v>
      </c>
      <c r="I33" s="75"/>
      <c r="J33" s="82"/>
      <c r="K33" s="70" t="s">
        <v>67</v>
      </c>
      <c r="L33" s="81">
        <v>6</v>
      </c>
      <c r="M33" s="81">
        <v>14</v>
      </c>
      <c r="N33" s="81">
        <v>16</v>
      </c>
      <c r="O33" s="81">
        <v>16</v>
      </c>
      <c r="P33" s="81">
        <v>14</v>
      </c>
      <c r="Q33" s="81">
        <v>14</v>
      </c>
      <c r="R33" s="53">
        <f>SQRT((L28-L33)*(L28-L33)+(M28-M33)*(M28-M33)+(N28-N33)*(N28-N33)+(O28-O33)*(O28-O33)+(P28-P33)*(P28-P33)+(Q28-Q33)*(Q28-Q33))</f>
        <v>5.65685424949238</v>
      </c>
      <c r="U33" s="70" t="s">
        <v>67</v>
      </c>
      <c r="V33" s="74">
        <v>32</v>
      </c>
      <c r="W33" s="74">
        <v>16</v>
      </c>
      <c r="X33" s="74">
        <v>28</v>
      </c>
      <c r="Y33" s="74">
        <v>16</v>
      </c>
      <c r="Z33" s="74">
        <v>14</v>
      </c>
      <c r="AA33" s="74">
        <v>14</v>
      </c>
      <c r="AB33" s="53">
        <f>SQRT((V28-V33)*(V28-V33)+(W28-W33)*(W28-W33)+(X28-X33)*(X28-X33)+(Y28-Y33)*(Y28-Y33)+(Z28-Z33)*(Z28-Z33)+(AA28-AA33)*(AA28-AA33))</f>
        <v>11.3137084989848</v>
      </c>
      <c r="AC33" s="74"/>
    </row>
    <row r="34" spans="1:29">
      <c r="A34" s="70" t="s">
        <v>68</v>
      </c>
      <c r="B34" s="74">
        <v>8</v>
      </c>
      <c r="C34" s="74">
        <v>8</v>
      </c>
      <c r="D34" s="74">
        <v>6</v>
      </c>
      <c r="E34" s="74">
        <v>6</v>
      </c>
      <c r="F34" s="74">
        <v>6</v>
      </c>
      <c r="G34" s="74">
        <v>6</v>
      </c>
      <c r="H34" s="53">
        <f>SQRT((B28-B34)*(B28-B34)+(C28-C34)*(C28-C34)+(D28-D34)*(D28-D34)+(E28-E34)*(E28-E34)+(F28-F34)*(F28-F34)+(G28-G34)*(G28-G34))</f>
        <v>0</v>
      </c>
      <c r="I34" s="84"/>
      <c r="J34" s="82"/>
      <c r="K34" s="70" t="s">
        <v>68</v>
      </c>
      <c r="L34" s="81">
        <v>12</v>
      </c>
      <c r="M34" s="81">
        <v>8</v>
      </c>
      <c r="N34" s="81">
        <v>16</v>
      </c>
      <c r="O34" s="81">
        <v>18</v>
      </c>
      <c r="P34" s="81">
        <v>14</v>
      </c>
      <c r="Q34" s="81">
        <v>12</v>
      </c>
      <c r="R34" s="53">
        <f>SQRT((L28-L34)*(L28-L34)+(M28-M34)*(M28-M34)+(N28-N34)*(N28-N34)+(O28-O34)*(O28-O34)+(P28-P34)*(P28-P34)+(Q28-Q34)*(Q28-Q34))</f>
        <v>4</v>
      </c>
      <c r="U34" s="70" t="s">
        <v>68</v>
      </c>
      <c r="V34" s="74">
        <v>30</v>
      </c>
      <c r="W34" s="74">
        <v>18</v>
      </c>
      <c r="X34" s="74">
        <v>28</v>
      </c>
      <c r="Y34" s="74">
        <v>16</v>
      </c>
      <c r="Z34" s="74">
        <v>14</v>
      </c>
      <c r="AA34" s="74">
        <v>14</v>
      </c>
      <c r="AB34" s="53">
        <f>SQRT((V28-V34)*(V28-V34)+(W28-W34)*(W28-W34)+(X28-X34)*(X28-X34)+(Y28-Y34)*(Y28-Y34)+(Z28-Z34)*(Z28-Z34)+(AA28-AA34)*(AA28-AA34))</f>
        <v>8.48528137423857</v>
      </c>
      <c r="AC34" s="74"/>
    </row>
    <row r="35" spans="1:29">
      <c r="A35" s="70"/>
      <c r="B35" s="74"/>
      <c r="C35" s="74"/>
      <c r="D35" s="74"/>
      <c r="E35" s="74"/>
      <c r="F35" s="74"/>
      <c r="G35" s="74"/>
      <c r="H35" s="53"/>
      <c r="I35" s="54"/>
      <c r="J35" s="82"/>
      <c r="K35" s="85"/>
      <c r="L35" s="81"/>
      <c r="M35" s="81"/>
      <c r="N35" s="81"/>
      <c r="O35" s="81"/>
      <c r="P35" s="81"/>
      <c r="Q35" s="81"/>
      <c r="R35" s="53"/>
      <c r="U35" s="70"/>
      <c r="V35" s="74"/>
      <c r="W35" s="74"/>
      <c r="X35" s="74"/>
      <c r="Y35" s="74"/>
      <c r="Z35" s="74"/>
      <c r="AA35" s="74"/>
      <c r="AB35" s="53"/>
      <c r="AC35" s="74"/>
    </row>
    <row r="36" spans="1:29">
      <c r="A36" s="70"/>
      <c r="B36" s="74"/>
      <c r="C36" s="74"/>
      <c r="D36" s="74"/>
      <c r="E36" s="74"/>
      <c r="F36" s="74"/>
      <c r="G36" s="74"/>
      <c r="H36" s="74"/>
      <c r="I36" s="75"/>
      <c r="J36" s="82"/>
      <c r="K36" s="75"/>
      <c r="L36" s="81"/>
      <c r="M36" s="81"/>
      <c r="N36" s="81"/>
      <c r="O36" s="81"/>
      <c r="P36" s="81"/>
      <c r="Q36" s="81"/>
      <c r="R36" s="74"/>
      <c r="U36" s="70"/>
      <c r="V36" s="74"/>
      <c r="W36" s="74"/>
      <c r="X36" s="74"/>
      <c r="Y36" s="74"/>
      <c r="Z36" s="74"/>
      <c r="AA36" s="74"/>
      <c r="AB36" s="53"/>
      <c r="AC36" s="74"/>
    </row>
    <row r="37" spans="1:29">
      <c r="A37" s="74"/>
      <c r="B37" s="71" t="s">
        <v>87</v>
      </c>
      <c r="C37" s="72" t="s">
        <v>89</v>
      </c>
      <c r="D37" s="72"/>
      <c r="E37" s="73" t="s">
        <v>88</v>
      </c>
      <c r="F37" s="73"/>
      <c r="G37" s="73"/>
      <c r="H37" s="74"/>
      <c r="I37" s="75"/>
      <c r="J37" s="82"/>
      <c r="K37" s="75"/>
      <c r="L37" s="76" t="s">
        <v>87</v>
      </c>
      <c r="M37" s="76"/>
      <c r="N37" s="77" t="s">
        <v>89</v>
      </c>
      <c r="O37" s="78" t="s">
        <v>88</v>
      </c>
      <c r="P37" s="78"/>
      <c r="Q37" s="78"/>
      <c r="R37" s="70"/>
      <c r="U37" s="70"/>
      <c r="V37" s="71" t="s">
        <v>87</v>
      </c>
      <c r="W37" s="71"/>
      <c r="X37" s="72" t="s">
        <v>89</v>
      </c>
      <c r="Y37" s="72"/>
      <c r="Z37" s="73" t="s">
        <v>88</v>
      </c>
      <c r="AA37" s="73"/>
      <c r="AB37" s="53"/>
      <c r="AC37" s="74"/>
    </row>
    <row r="38" ht="30" spans="1:29">
      <c r="A38" s="79" t="s">
        <v>132</v>
      </c>
      <c r="B38" s="74">
        <v>1</v>
      </c>
      <c r="C38" s="74">
        <v>2</v>
      </c>
      <c r="D38" s="74">
        <v>3</v>
      </c>
      <c r="E38" s="74">
        <v>4</v>
      </c>
      <c r="F38" s="74">
        <v>5</v>
      </c>
      <c r="G38" s="74">
        <v>6</v>
      </c>
      <c r="H38" s="74"/>
      <c r="I38" s="75"/>
      <c r="J38" s="82"/>
      <c r="K38" s="79" t="s">
        <v>132</v>
      </c>
      <c r="L38" s="81">
        <v>1</v>
      </c>
      <c r="M38" s="81">
        <v>2</v>
      </c>
      <c r="N38" s="81">
        <v>3</v>
      </c>
      <c r="O38" s="81">
        <v>4</v>
      </c>
      <c r="P38" s="81">
        <v>5</v>
      </c>
      <c r="Q38" s="81">
        <v>6</v>
      </c>
      <c r="R38" s="70"/>
      <c r="U38" s="70"/>
      <c r="V38" s="74">
        <v>1</v>
      </c>
      <c r="W38" s="74">
        <v>2</v>
      </c>
      <c r="X38" s="74">
        <v>3</v>
      </c>
      <c r="Y38" s="74">
        <v>4</v>
      </c>
      <c r="Z38" s="74">
        <v>5</v>
      </c>
      <c r="AA38" s="74">
        <v>6</v>
      </c>
      <c r="AB38" s="53"/>
      <c r="AC38" s="74"/>
    </row>
    <row r="39" spans="1:29">
      <c r="A39" s="70" t="s">
        <v>121</v>
      </c>
      <c r="B39" s="74">
        <v>12</v>
      </c>
      <c r="C39" s="74">
        <v>6</v>
      </c>
      <c r="D39" s="74">
        <v>4</v>
      </c>
      <c r="E39" s="74">
        <v>6</v>
      </c>
      <c r="F39" s="74">
        <v>6</v>
      </c>
      <c r="G39" s="74">
        <v>6</v>
      </c>
      <c r="H39" s="74" t="s">
        <v>133</v>
      </c>
      <c r="I39" s="75"/>
      <c r="J39" s="82"/>
      <c r="K39" s="70" t="s">
        <v>124</v>
      </c>
      <c r="L39" s="81">
        <v>14</v>
      </c>
      <c r="M39" s="81">
        <v>14</v>
      </c>
      <c r="N39" s="81">
        <v>16</v>
      </c>
      <c r="O39" s="81">
        <v>12</v>
      </c>
      <c r="P39" s="81">
        <v>12</v>
      </c>
      <c r="Q39" s="81">
        <v>12</v>
      </c>
      <c r="R39" s="74" t="s">
        <v>133</v>
      </c>
      <c r="U39" s="70" t="s">
        <v>127</v>
      </c>
      <c r="V39" s="74">
        <v>18</v>
      </c>
      <c r="W39" s="74">
        <v>18</v>
      </c>
      <c r="X39" s="74">
        <v>20</v>
      </c>
      <c r="Y39" s="74">
        <v>20</v>
      </c>
      <c r="Z39" s="74">
        <v>22</v>
      </c>
      <c r="AA39" s="74">
        <v>22</v>
      </c>
      <c r="AB39" s="74" t="s">
        <v>133</v>
      </c>
      <c r="AC39" s="74"/>
    </row>
    <row r="40" spans="1:29">
      <c r="A40" s="70" t="s">
        <v>63</v>
      </c>
      <c r="B40" s="74">
        <v>12</v>
      </c>
      <c r="C40" s="74">
        <v>4</v>
      </c>
      <c r="D40" s="74">
        <v>6</v>
      </c>
      <c r="E40" s="74">
        <v>4</v>
      </c>
      <c r="F40" s="74">
        <v>8</v>
      </c>
      <c r="G40" s="74">
        <v>6</v>
      </c>
      <c r="H40" s="53">
        <f>SQRT((B39-B40)*(B39-B40)+(C39-C40)*(C39-C40)+(D39-D40)*(D39-D40)+(E39-E40)*(E39-E40)+(F39-F40)*(F39-F40)+(G39-G40)*(G39-G40))</f>
        <v>4</v>
      </c>
      <c r="I40" s="75"/>
      <c r="J40" s="82"/>
      <c r="K40" s="70" t="s">
        <v>63</v>
      </c>
      <c r="L40" s="81">
        <v>12</v>
      </c>
      <c r="M40" s="81">
        <v>16</v>
      </c>
      <c r="N40" s="81">
        <v>16</v>
      </c>
      <c r="O40" s="81">
        <v>14</v>
      </c>
      <c r="P40" s="81">
        <v>10</v>
      </c>
      <c r="Q40" s="81">
        <v>12</v>
      </c>
      <c r="R40" s="53">
        <f>SQRT((L39-L40)*(L39-L40)+(M39-M40)*(M39-M40)+(N39-N40)*(N39-N40)+(O39-O40)*(O39-O40)+(P39-P40)*(P39-P40)+(Q39-Q40)*(Q39-Q40))</f>
        <v>4</v>
      </c>
      <c r="U40" s="70" t="s">
        <v>63</v>
      </c>
      <c r="V40" s="74">
        <v>16</v>
      </c>
      <c r="W40" s="74">
        <v>20</v>
      </c>
      <c r="X40" s="74">
        <v>22</v>
      </c>
      <c r="Y40" s="74">
        <v>18</v>
      </c>
      <c r="Z40" s="74">
        <v>22</v>
      </c>
      <c r="AA40" s="74">
        <v>22</v>
      </c>
      <c r="AB40" s="53">
        <f>SQRT((V39-V40)*(V39-V40)+(W39-W40)*(W39-W40)+(X39-X40)*(X39-X40)+(Y39-Y40)*(Y39-Y40)+(Z39-Z40)*(Z39-Z40)+(AA39-AA40)*(AA39-AA40))</f>
        <v>4</v>
      </c>
      <c r="AC40" s="74"/>
    </row>
    <row r="41" spans="1:29">
      <c r="A41" s="70" t="s">
        <v>64</v>
      </c>
      <c r="B41" s="74">
        <v>12</v>
      </c>
      <c r="C41" s="74">
        <v>6</v>
      </c>
      <c r="D41" s="74">
        <v>4</v>
      </c>
      <c r="E41" s="74">
        <v>6</v>
      </c>
      <c r="F41" s="74">
        <v>8</v>
      </c>
      <c r="G41" s="74">
        <v>4</v>
      </c>
      <c r="H41" s="53">
        <f>SQRT((B39-B41)*(B39-B41)+(C39-C41)*(C39-C41)+(D39-D41)*(D39-D41)+(E39-E41)*(E39-E41)+(F39-F41)*(F39-F41)+(G39-G41)*(G39-G41))</f>
        <v>2.82842712474619</v>
      </c>
      <c r="I41" s="75"/>
      <c r="J41" s="82"/>
      <c r="K41" s="70" t="s">
        <v>64</v>
      </c>
      <c r="L41" s="81">
        <v>12</v>
      </c>
      <c r="M41" s="81">
        <v>16</v>
      </c>
      <c r="N41" s="81">
        <v>16</v>
      </c>
      <c r="O41" s="81">
        <v>16</v>
      </c>
      <c r="P41" s="81">
        <v>10</v>
      </c>
      <c r="Q41" s="81">
        <v>10</v>
      </c>
      <c r="R41" s="53">
        <f>SQRT((L39-L41)*(L39-L41)+(M39-M41)*(M39-M41)+(N39-N41)*(N39-N41)+(O39-O41)*(O39-O41)+(P39-P41)*(P39-P41)+(Q39-Q41)*(Q39-Q41))</f>
        <v>5.65685424949238</v>
      </c>
      <c r="U41" s="70" t="s">
        <v>64</v>
      </c>
      <c r="V41" s="74">
        <v>18</v>
      </c>
      <c r="W41" s="74">
        <v>18</v>
      </c>
      <c r="X41" s="74">
        <v>20</v>
      </c>
      <c r="Y41" s="74">
        <v>20</v>
      </c>
      <c r="Z41" s="74">
        <v>18</v>
      </c>
      <c r="AA41" s="74">
        <v>26</v>
      </c>
      <c r="AB41" s="53">
        <f>SQRT((V39-V41)*(V39-V41)+(W39-W41)*(W39-W41)+(X39-X41)*(X39-X41)+(Y39-Y41)*(Y39-Y41)+(Z39-Z41)*(Z39-Z41)+(AA39-AA41)*(AA39-AA41))</f>
        <v>5.65685424949238</v>
      </c>
      <c r="AC41" s="74"/>
    </row>
    <row r="42" spans="1:29">
      <c r="A42" s="70" t="s">
        <v>65</v>
      </c>
      <c r="B42" s="74">
        <v>12</v>
      </c>
      <c r="C42" s="74">
        <v>6</v>
      </c>
      <c r="D42" s="74">
        <v>4</v>
      </c>
      <c r="E42" s="74">
        <v>4</v>
      </c>
      <c r="F42" s="74">
        <v>8</v>
      </c>
      <c r="G42" s="74">
        <v>6</v>
      </c>
      <c r="H42" s="53">
        <f>SQRT((B39-B42)*(B39-B42)+(C39-C42)*(C39-C42)+(D39-D42)*(D39-D42)+(E39-E42)*(E39-E42)+(F39-F42)*(F39-F42)+(G39-G42)*(G39-G42))</f>
        <v>2.82842712474619</v>
      </c>
      <c r="I42" s="75"/>
      <c r="J42" s="82"/>
      <c r="K42" s="70" t="s">
        <v>65</v>
      </c>
      <c r="L42" s="81">
        <v>14</v>
      </c>
      <c r="M42" s="81">
        <v>14</v>
      </c>
      <c r="N42" s="81">
        <v>16</v>
      </c>
      <c r="O42" s="81">
        <v>14</v>
      </c>
      <c r="P42" s="81">
        <v>14</v>
      </c>
      <c r="Q42" s="81">
        <v>8</v>
      </c>
      <c r="R42" s="53">
        <f>SQRT((L39-L42)*(L39-L42)+(M39-M42)*(M39-M42)+(N39-N42)*(N39-N42)+(O39-O42)*(O39-O42)+(P39-P42)*(P39-P42)+(Q39-Q42)*(Q39-Q42))</f>
        <v>4.89897948556636</v>
      </c>
      <c r="U42" s="70" t="s">
        <v>65</v>
      </c>
      <c r="V42" s="74">
        <v>16</v>
      </c>
      <c r="W42" s="74">
        <v>20</v>
      </c>
      <c r="X42" s="74">
        <v>22</v>
      </c>
      <c r="Y42" s="74">
        <v>18</v>
      </c>
      <c r="Z42" s="74">
        <v>24</v>
      </c>
      <c r="AA42" s="74">
        <v>20</v>
      </c>
      <c r="AB42" s="53">
        <f>SQRT((V39-V42)*(V39-V42)+(W39-W42)*(W39-W42)+(X39-X42)*(X39-X42)+(Y39-Y42)*(Y39-Y42)+(Z39-Z42)*(Z39-Z42)+(AA39-AA42)*(AA39-AA42))</f>
        <v>4.89897948556636</v>
      </c>
      <c r="AC42" s="74"/>
    </row>
    <row r="43" spans="1:29">
      <c r="A43" s="70" t="s">
        <v>66</v>
      </c>
      <c r="B43" s="74">
        <v>12</v>
      </c>
      <c r="C43" s="74">
        <v>6</v>
      </c>
      <c r="D43" s="74">
        <v>4</v>
      </c>
      <c r="E43" s="74">
        <v>6</v>
      </c>
      <c r="F43" s="74">
        <v>10</v>
      </c>
      <c r="G43" s="74">
        <v>2</v>
      </c>
      <c r="H43" s="53">
        <f>SQRT((B39-B43)*(B39-B43)+(C39-C43)*(C39-C43)+(D39-D43)*(D39-D43)+(E39-E43)*(E39-E43)+(F39-F43)*(F39-F43)+(G39-G43)*(G39-G43))</f>
        <v>5.65685424949238</v>
      </c>
      <c r="I43" s="83"/>
      <c r="J43" s="82"/>
      <c r="K43" s="70" t="s">
        <v>66</v>
      </c>
      <c r="L43" s="81">
        <v>14</v>
      </c>
      <c r="M43" s="81">
        <v>14</v>
      </c>
      <c r="N43" s="81">
        <v>16</v>
      </c>
      <c r="O43" s="81">
        <v>14</v>
      </c>
      <c r="P43" s="81">
        <v>14</v>
      </c>
      <c r="Q43" s="81">
        <v>8</v>
      </c>
      <c r="R43" s="53">
        <f>SQRT((L39-L43)*(L39-L43)+(M39-M43)*(M39-M43)+(N39-N43)*(N39-N43)+(O39-O43)*(O39-O43)+(P39-P43)*(P39-P43)+(Q39-Q43)*(Q39-Q43))</f>
        <v>4.89897948556636</v>
      </c>
      <c r="U43" s="70" t="s">
        <v>66</v>
      </c>
      <c r="V43" s="74">
        <v>16</v>
      </c>
      <c r="W43" s="74">
        <v>20</v>
      </c>
      <c r="X43" s="74">
        <v>22</v>
      </c>
      <c r="Y43" s="74">
        <v>18</v>
      </c>
      <c r="Z43" s="74">
        <v>24</v>
      </c>
      <c r="AA43" s="74">
        <v>20</v>
      </c>
      <c r="AB43" s="53">
        <f>SQRT((V39-V43)*(V39-V43)+(W39-W43)*(W39-W43)+(X39-X43)*(X39-X43)+(Y39-Y43)*(Y39-Y43)+(Z39-Z43)*(Z39-Z43)+(AA39-AA43)*(AA39-AA43))</f>
        <v>4.89897948556636</v>
      </c>
      <c r="AC43" s="74"/>
    </row>
    <row r="44" spans="1:29">
      <c r="A44" s="70" t="s">
        <v>67</v>
      </c>
      <c r="B44" s="74">
        <v>12</v>
      </c>
      <c r="C44" s="74">
        <v>4</v>
      </c>
      <c r="D44" s="74">
        <v>6</v>
      </c>
      <c r="E44" s="74">
        <v>4</v>
      </c>
      <c r="F44" s="74">
        <v>8</v>
      </c>
      <c r="G44" s="74">
        <v>6</v>
      </c>
      <c r="H44" s="53">
        <f>SQRT((B39-B44)*(B39-B44)+(C39-C44)*(C39-C44)+(D39-D44)*(D39-D44)+(E39-E44)*(E39-E44)+(F39-F44)*(F39-F44)+(G39-G44)*(G39-G44))</f>
        <v>4</v>
      </c>
      <c r="I44" s="75"/>
      <c r="J44" s="82"/>
      <c r="K44" s="70" t="s">
        <v>67</v>
      </c>
      <c r="L44" s="81">
        <v>12</v>
      </c>
      <c r="M44" s="81">
        <v>16</v>
      </c>
      <c r="N44" s="81">
        <v>16</v>
      </c>
      <c r="O44" s="81">
        <v>14</v>
      </c>
      <c r="P44" s="81">
        <v>10</v>
      </c>
      <c r="Q44" s="81">
        <v>12</v>
      </c>
      <c r="R44" s="53">
        <f>SQRT((L39-L44)*(L39-L44)+(M39-M44)*(M39-M44)+(N39-N44)*(N39-N44)+(O39-O44)*(O39-O44)+(P39-P44)*(P39-P44)+(Q39-Q44)*(Q39-Q44))</f>
        <v>4</v>
      </c>
      <c r="U44" s="70" t="s">
        <v>67</v>
      </c>
      <c r="V44" s="74">
        <v>18</v>
      </c>
      <c r="W44" s="74">
        <v>18</v>
      </c>
      <c r="X44" s="74">
        <v>20</v>
      </c>
      <c r="Y44" s="74">
        <v>20</v>
      </c>
      <c r="Z44" s="74">
        <v>18</v>
      </c>
      <c r="AA44" s="74">
        <v>26</v>
      </c>
      <c r="AB44" s="53">
        <f>SQRT((V39-V44)*(V39-V44)+(W39-W44)*(W39-W44)+(X39-X44)*(X39-X44)+(Y39-Y44)*(Y39-Y44)+(Z39-Z44)*(Z39-Z44)+(AA39-AA44)*(AA39-AA44))</f>
        <v>5.65685424949238</v>
      </c>
      <c r="AC44" s="74"/>
    </row>
    <row r="45" spans="1:29">
      <c r="A45" s="70" t="s">
        <v>68</v>
      </c>
      <c r="B45" s="74">
        <v>12</v>
      </c>
      <c r="C45" s="74">
        <v>6</v>
      </c>
      <c r="D45" s="74">
        <v>4</v>
      </c>
      <c r="E45" s="74">
        <v>4</v>
      </c>
      <c r="F45" s="74">
        <v>6</v>
      </c>
      <c r="G45" s="74">
        <v>8</v>
      </c>
      <c r="H45" s="53">
        <f>SQRT((B39-B45)*(B39-B45)+(C39-C45)*(C39-C45)+(D39-D45)*(D39-D45)+(E39-E45)*(E39-E45)+(F39-F45)*(F39-F45)+(G39-G45)*(G39-G45))</f>
        <v>2.82842712474619</v>
      </c>
      <c r="I45" s="83"/>
      <c r="J45" s="82"/>
      <c r="K45" s="70" t="s">
        <v>68</v>
      </c>
      <c r="L45" s="81">
        <v>12</v>
      </c>
      <c r="M45" s="81">
        <v>16</v>
      </c>
      <c r="N45" s="81">
        <v>16</v>
      </c>
      <c r="O45" s="81">
        <v>14</v>
      </c>
      <c r="P45" s="81">
        <v>10</v>
      </c>
      <c r="Q45" s="81">
        <v>12</v>
      </c>
      <c r="R45" s="53">
        <f>SQRT((L39-L45)*(L39-L45)+(M39-M45)*(M39-M45)+(N39-N45)*(N39-N45)+(O39-O45)*(O39-O45)+(P39-P45)*(P39-P45)+(Q39-Q45)*(Q39-Q45))</f>
        <v>4</v>
      </c>
      <c r="U45" s="70" t="s">
        <v>68</v>
      </c>
      <c r="V45" s="74">
        <v>18</v>
      </c>
      <c r="W45" s="74">
        <v>18</v>
      </c>
      <c r="X45" s="74">
        <v>18</v>
      </c>
      <c r="Y45" s="74">
        <v>22</v>
      </c>
      <c r="Z45" s="74">
        <v>20</v>
      </c>
      <c r="AA45" s="74">
        <v>24</v>
      </c>
      <c r="AB45" s="53">
        <f>SQRT((V39-V45)*(V39-V45)+(W39-W45)*(W39-W45)+(X39-X45)*(X39-X45)+(Y39-Y45)*(Y39-Y45)+(Z39-Z45)*(Z39-Z45)+(AA39-AA45)*(AA39-AA45))</f>
        <v>4</v>
      </c>
      <c r="AC45" s="86"/>
    </row>
    <row r="46" spans="1:29">
      <c r="A46" s="70"/>
      <c r="B46" s="74"/>
      <c r="C46" s="74"/>
      <c r="D46" s="74"/>
      <c r="E46" s="74"/>
      <c r="F46" s="74"/>
      <c r="G46" s="74"/>
      <c r="H46" s="74"/>
      <c r="I46" s="75"/>
      <c r="J46" s="82"/>
      <c r="K46" s="75"/>
      <c r="L46" s="81"/>
      <c r="M46" s="81"/>
      <c r="N46" s="81"/>
      <c r="O46" s="81"/>
      <c r="P46" s="81"/>
      <c r="Q46" s="81"/>
      <c r="R46" s="70"/>
      <c r="U46" s="70"/>
      <c r="V46" s="74"/>
      <c r="W46" s="74"/>
      <c r="X46" s="74"/>
      <c r="Y46" s="74"/>
      <c r="Z46" s="74"/>
      <c r="AA46" s="74"/>
      <c r="AB46" s="53"/>
      <c r="AC46" s="74"/>
    </row>
    <row r="47" spans="1:29">
      <c r="A47" s="70"/>
      <c r="B47" s="74"/>
      <c r="C47" s="74"/>
      <c r="D47" s="74"/>
      <c r="E47" s="74"/>
      <c r="F47" s="74"/>
      <c r="G47" s="74"/>
      <c r="H47" s="74"/>
      <c r="I47" s="75"/>
      <c r="J47" s="82"/>
      <c r="K47" s="75"/>
      <c r="L47" s="81"/>
      <c r="M47" s="81"/>
      <c r="N47" s="81"/>
      <c r="O47" s="81"/>
      <c r="P47" s="81"/>
      <c r="Q47" s="81"/>
      <c r="R47" s="70"/>
      <c r="U47" s="70"/>
      <c r="V47" s="74"/>
      <c r="W47" s="74"/>
      <c r="X47" s="74"/>
      <c r="Y47" s="74"/>
      <c r="Z47" s="74"/>
      <c r="AA47" s="74"/>
      <c r="AB47" s="53"/>
      <c r="AC47" s="74"/>
    </row>
    <row r="48" spans="1:29">
      <c r="A48" s="70"/>
      <c r="B48" s="71" t="s">
        <v>87</v>
      </c>
      <c r="C48" s="72" t="s">
        <v>89</v>
      </c>
      <c r="D48" s="72"/>
      <c r="E48" s="72"/>
      <c r="F48" s="73" t="s">
        <v>88</v>
      </c>
      <c r="G48" s="73"/>
      <c r="H48" s="74"/>
      <c r="I48" s="75"/>
      <c r="J48" s="82"/>
      <c r="K48" s="75"/>
      <c r="L48" s="76" t="s">
        <v>87</v>
      </c>
      <c r="M48" s="77" t="s">
        <v>89</v>
      </c>
      <c r="N48" s="77"/>
      <c r="O48" s="78" t="s">
        <v>88</v>
      </c>
      <c r="P48" s="78"/>
      <c r="Q48" s="78"/>
      <c r="R48" s="70"/>
      <c r="U48" s="70"/>
      <c r="V48" s="71"/>
      <c r="W48" s="72"/>
      <c r="X48" s="72"/>
      <c r="Y48" s="72"/>
      <c r="Z48" s="73"/>
      <c r="AA48" s="73"/>
      <c r="AB48" s="53"/>
      <c r="AC48" s="74"/>
    </row>
    <row r="49" spans="1:29">
      <c r="A49" s="79" t="s">
        <v>132</v>
      </c>
      <c r="B49" s="74">
        <v>1</v>
      </c>
      <c r="C49" s="74">
        <v>2</v>
      </c>
      <c r="D49" s="74">
        <v>3</v>
      </c>
      <c r="E49" s="74">
        <v>4</v>
      </c>
      <c r="F49" s="74">
        <v>5</v>
      </c>
      <c r="G49" s="74">
        <v>6</v>
      </c>
      <c r="H49" s="74"/>
      <c r="I49" s="75"/>
      <c r="J49" s="82"/>
      <c r="K49" s="75"/>
      <c r="L49" s="81">
        <v>1</v>
      </c>
      <c r="M49" s="81">
        <v>2</v>
      </c>
      <c r="N49" s="81">
        <v>3</v>
      </c>
      <c r="O49" s="81">
        <v>4</v>
      </c>
      <c r="P49" s="81">
        <v>5</v>
      </c>
      <c r="Q49" s="81">
        <v>6</v>
      </c>
      <c r="R49" s="74"/>
      <c r="U49" s="74"/>
      <c r="V49" s="74">
        <v>1</v>
      </c>
      <c r="W49" s="74">
        <v>2</v>
      </c>
      <c r="X49" s="74">
        <v>3</v>
      </c>
      <c r="Y49" s="74">
        <v>4</v>
      </c>
      <c r="Z49" s="74">
        <v>5</v>
      </c>
      <c r="AA49" s="74">
        <v>6</v>
      </c>
      <c r="AB49" s="53"/>
      <c r="AC49" s="74"/>
    </row>
    <row r="50" spans="1:29">
      <c r="A50" s="70" t="s">
        <v>122</v>
      </c>
      <c r="B50" s="74">
        <v>6</v>
      </c>
      <c r="C50" s="74">
        <v>6</v>
      </c>
      <c r="D50" s="74">
        <v>6</v>
      </c>
      <c r="E50" s="74">
        <v>6</v>
      </c>
      <c r="F50" s="74">
        <v>8</v>
      </c>
      <c r="G50" s="74">
        <v>8</v>
      </c>
      <c r="H50" s="74" t="s">
        <v>133</v>
      </c>
      <c r="I50" s="75"/>
      <c r="J50" s="82"/>
      <c r="K50" s="70" t="s">
        <v>125</v>
      </c>
      <c r="L50" s="81">
        <v>14</v>
      </c>
      <c r="M50" s="81">
        <v>12</v>
      </c>
      <c r="N50" s="81">
        <v>12</v>
      </c>
      <c r="O50" s="81">
        <v>14</v>
      </c>
      <c r="P50" s="81">
        <v>14</v>
      </c>
      <c r="Q50" s="81">
        <v>14</v>
      </c>
      <c r="R50" s="74" t="s">
        <v>133</v>
      </c>
      <c r="U50" s="70" t="s">
        <v>128</v>
      </c>
      <c r="V50" s="74">
        <v>24</v>
      </c>
      <c r="W50" s="74">
        <v>18</v>
      </c>
      <c r="X50" s="74">
        <v>18</v>
      </c>
      <c r="Y50" s="74">
        <v>18</v>
      </c>
      <c r="Z50" s="74">
        <v>20</v>
      </c>
      <c r="AA50" s="74">
        <v>22</v>
      </c>
      <c r="AB50" s="74" t="s">
        <v>133</v>
      </c>
      <c r="AC50" s="74"/>
    </row>
    <row r="51" spans="1:29">
      <c r="A51" s="70" t="s">
        <v>63</v>
      </c>
      <c r="B51" s="74">
        <v>6</v>
      </c>
      <c r="C51" s="74">
        <v>6</v>
      </c>
      <c r="D51" s="74">
        <v>8</v>
      </c>
      <c r="E51" s="74">
        <v>4</v>
      </c>
      <c r="F51" s="74">
        <v>8</v>
      </c>
      <c r="G51" s="74">
        <v>8</v>
      </c>
      <c r="H51" s="53">
        <f>SQRT((B50-B51)*(B50-B51)+(C50-C51)*(C50-C51)+(D50-D51)*(D50-D51)+(E50-E51)*(E50-E51)+(F50-F51)*(F50-F51)+(G50-G51)*(G50-G51))</f>
        <v>2.82842712474619</v>
      </c>
      <c r="I51" s="75"/>
      <c r="J51" s="82"/>
      <c r="K51" s="70" t="s">
        <v>63</v>
      </c>
      <c r="L51" s="81">
        <v>14</v>
      </c>
      <c r="M51" s="81">
        <v>10</v>
      </c>
      <c r="N51" s="81">
        <v>14</v>
      </c>
      <c r="O51" s="81">
        <v>14</v>
      </c>
      <c r="P51" s="81">
        <v>12</v>
      </c>
      <c r="Q51" s="81">
        <v>16</v>
      </c>
      <c r="R51" s="53">
        <f>SQRT((L50-L51)*(L50-L51)+(M50-M51)*(M50-M51)+(N50-N51)*(N50-N51)+(O50-O51)*(O50-O51)+(P50-P51)*(P50-P51)+(Q50-Q51)*(Q50-Q51))</f>
        <v>4</v>
      </c>
      <c r="U51" s="70" t="s">
        <v>63</v>
      </c>
      <c r="V51" s="74">
        <v>24</v>
      </c>
      <c r="W51" s="74">
        <v>20</v>
      </c>
      <c r="X51" s="74">
        <v>16</v>
      </c>
      <c r="Y51" s="74">
        <v>18</v>
      </c>
      <c r="Z51" s="74">
        <v>22</v>
      </c>
      <c r="AA51" s="74">
        <v>20</v>
      </c>
      <c r="AB51" s="53">
        <f>SQRT((V50-V51)*(V50-V51)+(W50-W51)*(W50-W51)+(X50-X51)*(X50-X51)+(Y50-Y51)*(Y50-Y51)+(Z50-Z51)*(Z50-Z51)+(AA50-AA51)*(AA50-AA51))</f>
        <v>4</v>
      </c>
      <c r="AC51" s="74"/>
    </row>
    <row r="52" spans="1:29">
      <c r="A52" s="70" t="s">
        <v>64</v>
      </c>
      <c r="B52" s="74">
        <v>6</v>
      </c>
      <c r="C52" s="74">
        <v>8</v>
      </c>
      <c r="D52" s="74">
        <v>6</v>
      </c>
      <c r="E52" s="74">
        <v>4</v>
      </c>
      <c r="F52" s="74">
        <v>12</v>
      </c>
      <c r="G52" s="74">
        <v>4</v>
      </c>
      <c r="H52" s="53">
        <f>SQRT((B50-B52)*(B50-B52)+(C50-C52)*(C50-C52)+(D50-D52)*(D50-D52)+(E50-E52)*(E50-E52)+(F50-F52)*(F50-F52)+(G50-G52)*(G50-G52))</f>
        <v>6.32455532033676</v>
      </c>
      <c r="I52" s="75"/>
      <c r="J52" s="82"/>
      <c r="K52" s="70" t="s">
        <v>64</v>
      </c>
      <c r="L52" s="81">
        <v>14</v>
      </c>
      <c r="M52" s="81">
        <v>10</v>
      </c>
      <c r="N52" s="81">
        <v>14</v>
      </c>
      <c r="O52" s="81">
        <v>12</v>
      </c>
      <c r="P52" s="81">
        <v>12</v>
      </c>
      <c r="Q52" s="81">
        <v>18</v>
      </c>
      <c r="R52" s="53">
        <f>SQRT((L50-L52)*(L50-L52)+(M50-M52)*(M50-M52)+(N50-N52)*(N50-N52)+(O50-O52)*(O50-O52)+(P50-P52)*(P50-P52)+(Q50-Q52)*(Q50-Q52))</f>
        <v>5.65685424949238</v>
      </c>
      <c r="U52" s="70" t="s">
        <v>64</v>
      </c>
      <c r="V52" s="74">
        <v>24</v>
      </c>
      <c r="W52" s="74">
        <v>16</v>
      </c>
      <c r="X52" s="74">
        <v>16</v>
      </c>
      <c r="Y52" s="74">
        <v>22</v>
      </c>
      <c r="Z52" s="74">
        <v>22</v>
      </c>
      <c r="AA52" s="74">
        <v>20</v>
      </c>
      <c r="AB52" s="53">
        <f>SQRT((V50-V52)*(V50-V52)+(W50-W52)*(W50-W52)+(X50-X52)*(X50-X52)+(Y50-Y52)*(Y50-Y52)+(Z50-Z52)*(Z50-Z52)+(AA50-AA52)*(AA50-AA52))</f>
        <v>5.65685424949238</v>
      </c>
      <c r="AC52" s="74"/>
    </row>
    <row r="53" spans="1:29">
      <c r="A53" s="70" t="s">
        <v>65</v>
      </c>
      <c r="B53" s="74">
        <v>6</v>
      </c>
      <c r="C53" s="74">
        <v>8</v>
      </c>
      <c r="D53" s="74">
        <v>6</v>
      </c>
      <c r="E53" s="74">
        <v>4</v>
      </c>
      <c r="F53" s="74">
        <v>4</v>
      </c>
      <c r="G53" s="74">
        <v>12</v>
      </c>
      <c r="H53" s="53">
        <f>SQRT((B50-B53)*(B50-B53)+(C50-C53)*(C50-C53)+(D50-D53)*(D50-D53)+(E50-E53)*(E50-E53)+(F50-F53)*(F50-F53)+(G50-G53)*(G50-G53))</f>
        <v>6.32455532033676</v>
      </c>
      <c r="I53" s="75"/>
      <c r="J53" s="82"/>
      <c r="K53" s="70" t="s">
        <v>65</v>
      </c>
      <c r="L53" s="81">
        <v>14</v>
      </c>
      <c r="M53" s="81">
        <v>12</v>
      </c>
      <c r="N53" s="81">
        <v>12</v>
      </c>
      <c r="O53" s="81">
        <v>12</v>
      </c>
      <c r="P53" s="81">
        <v>14</v>
      </c>
      <c r="Q53" s="81">
        <v>16</v>
      </c>
      <c r="R53" s="53">
        <f>SQRT((L50-L53)*(L50-L53)+(M50-M53)*(M50-M53)+(N50-N53)*(N50-N53)+(O50-O53)*(O50-O53)+(P50-P53)*(P50-P53)+(Q50-Q53)*(Q50-Q53))</f>
        <v>2.82842712474619</v>
      </c>
      <c r="U53" s="70" t="s">
        <v>65</v>
      </c>
      <c r="V53" s="11">
        <v>24</v>
      </c>
      <c r="W53" s="11">
        <v>16</v>
      </c>
      <c r="X53" s="11">
        <v>20</v>
      </c>
      <c r="Y53" s="11">
        <v>18</v>
      </c>
      <c r="Z53" s="11">
        <v>14</v>
      </c>
      <c r="AA53" s="11">
        <v>28</v>
      </c>
      <c r="AB53" s="53">
        <f>SQRT((V50-V53)*(V50-V53)+(W50-W53)*(W50-W53)+(X50-X53)*(X50-X53)+(Y50-Y53)*(Y50-Y53)+(Z50-Z53)*(Z50-Z53)+(AA50-AA53)*(AA50-AA53))</f>
        <v>8.94427190999916</v>
      </c>
      <c r="AC53" s="11"/>
    </row>
    <row r="54" spans="1:29">
      <c r="A54" s="70" t="s">
        <v>66</v>
      </c>
      <c r="B54" s="74">
        <v>6</v>
      </c>
      <c r="C54" s="74">
        <v>6</v>
      </c>
      <c r="D54" s="74">
        <v>8</v>
      </c>
      <c r="E54" s="74">
        <v>4</v>
      </c>
      <c r="F54" s="74">
        <v>6</v>
      </c>
      <c r="G54" s="74">
        <v>10</v>
      </c>
      <c r="H54" s="53">
        <f>SQRT((B50-B54)*(B50-B54)+(C50-C54)*(C50-C54)+(D50-D54)*(D50-D54)+(E50-E54)*(E50-E54)+(F50-F54)*(F50-F54)+(G50-G54)*(G50-G54))</f>
        <v>4</v>
      </c>
      <c r="I54" s="75"/>
      <c r="J54" s="82"/>
      <c r="K54" s="70" t="s">
        <v>66</v>
      </c>
      <c r="L54" s="81">
        <v>14</v>
      </c>
      <c r="M54" s="81">
        <v>10</v>
      </c>
      <c r="N54" s="81">
        <v>14</v>
      </c>
      <c r="O54" s="81">
        <v>16</v>
      </c>
      <c r="P54" s="81">
        <v>12</v>
      </c>
      <c r="Q54" s="81">
        <v>14</v>
      </c>
      <c r="R54" s="53">
        <f>SQRT((L50-L54)*(L50-L54)+(M50-M54)*(M50-M54)+(N50-N54)*(N50-N54)+(O50-O54)*(O50-O54)+(P50-P54)*(P50-P54)+(Q50-Q54)*(Q50-Q54))</f>
        <v>4</v>
      </c>
      <c r="U54" s="70" t="s">
        <v>66</v>
      </c>
      <c r="V54" s="74">
        <v>24</v>
      </c>
      <c r="W54" s="74">
        <v>14</v>
      </c>
      <c r="X54" s="74">
        <v>18</v>
      </c>
      <c r="Y54" s="74">
        <v>22</v>
      </c>
      <c r="Z54" s="74">
        <v>22</v>
      </c>
      <c r="AA54" s="74">
        <v>20</v>
      </c>
      <c r="AB54" s="53">
        <f>SQRT((V50-V54)*(V50-V54)+(W50-W54)*(W50-W54)+(X50-X54)*(X50-X54)+(Y50-Y54)*(Y50-Y54)+(Z50-Z54)*(Z50-Z54)+(AA50-AA54)*(AA50-AA54))</f>
        <v>6.32455532033676</v>
      </c>
      <c r="AC54" s="74"/>
    </row>
    <row r="55" spans="1:29">
      <c r="A55" s="70" t="s">
        <v>67</v>
      </c>
      <c r="B55" s="74">
        <v>6</v>
      </c>
      <c r="C55" s="74">
        <v>6</v>
      </c>
      <c r="D55" s="74">
        <v>8</v>
      </c>
      <c r="E55" s="74">
        <v>4</v>
      </c>
      <c r="F55" s="74">
        <v>6</v>
      </c>
      <c r="G55" s="74">
        <v>10</v>
      </c>
      <c r="H55" s="53">
        <f>SQRT((B50-B55)*(B50-B55)+(C50-C55)*(C50-C55)+(D50-D55)*(D50-D55)+(E50-E55)*(E50-E55)+(F50-F55)*(F50-F55)+(G50-G55)*(G50-G55))</f>
        <v>4</v>
      </c>
      <c r="I55" s="75"/>
      <c r="J55" s="82"/>
      <c r="K55" s="70" t="s">
        <v>67</v>
      </c>
      <c r="L55" s="81">
        <v>14</v>
      </c>
      <c r="M55" s="81">
        <v>12</v>
      </c>
      <c r="N55" s="81">
        <v>12</v>
      </c>
      <c r="O55" s="81">
        <v>12</v>
      </c>
      <c r="P55" s="81">
        <v>14</v>
      </c>
      <c r="Q55" s="81">
        <v>16</v>
      </c>
      <c r="R55" s="53">
        <f>SQRT((L50-L55)*(L50-L55)+(M50-M55)*(M50-M55)+(N50-N55)*(N50-N55)+(O50-O55)*(O50-O55)+(P50-P55)*(P50-P55)+(Q50-Q55)*(Q50-Q55))</f>
        <v>2.82842712474619</v>
      </c>
      <c r="U55" s="70" t="s">
        <v>67</v>
      </c>
      <c r="V55" s="74">
        <v>24</v>
      </c>
      <c r="W55" s="74">
        <v>22</v>
      </c>
      <c r="X55" s="74">
        <v>14</v>
      </c>
      <c r="Y55" s="74">
        <v>18</v>
      </c>
      <c r="Z55" s="74">
        <v>22</v>
      </c>
      <c r="AA55" s="74">
        <v>20</v>
      </c>
      <c r="AB55" s="53">
        <f>SQRT((V50-V55)*(V50-V55)+(W50-W55)*(W50-W55)+(X50-X55)*(X50-X55)+(Y50-Y55)*(Y50-Y55)+(Z50-Z55)*(Z50-Z55)+(AA50-AA55)*(AA50-AA55))</f>
        <v>6.32455532033676</v>
      </c>
      <c r="AC55" s="74"/>
    </row>
    <row r="56" spans="1:29">
      <c r="A56" s="70" t="s">
        <v>68</v>
      </c>
      <c r="B56" s="74">
        <v>6</v>
      </c>
      <c r="C56" s="74">
        <v>6</v>
      </c>
      <c r="D56" s="74">
        <v>6</v>
      </c>
      <c r="E56" s="74">
        <v>6</v>
      </c>
      <c r="F56" s="74">
        <v>8</v>
      </c>
      <c r="G56" s="74">
        <v>8</v>
      </c>
      <c r="H56" s="53">
        <f>SQRT((B50-B56)*(B50-B56)+(C50-C56)*(C50-C56)+(D50-D56)*(D50-D56)+(E50-E56)*(E50-E56)+(F50-F56)*(F50-F56)+(G50-G56)*(G50-G56))</f>
        <v>0</v>
      </c>
      <c r="I56" s="84"/>
      <c r="J56" s="82"/>
      <c r="K56" s="70" t="s">
        <v>68</v>
      </c>
      <c r="L56" s="81">
        <v>14</v>
      </c>
      <c r="M56" s="81">
        <v>14</v>
      </c>
      <c r="N56" s="81">
        <v>10</v>
      </c>
      <c r="O56" s="81">
        <v>14</v>
      </c>
      <c r="P56" s="81">
        <v>12</v>
      </c>
      <c r="Q56" s="81">
        <v>16</v>
      </c>
      <c r="R56" s="53">
        <f>SQRT((L50-L56)*(L50-L56)+(M50-M56)*(M50-M56)+(N50-N56)*(N50-N56)+(O50-O56)*(O50-O56)+(P50-P56)*(P50-P56)+(Q50-Q56)*(Q50-Q56))</f>
        <v>4</v>
      </c>
      <c r="U56" s="70" t="s">
        <v>68</v>
      </c>
      <c r="V56" s="74">
        <v>24</v>
      </c>
      <c r="W56" s="74">
        <v>22</v>
      </c>
      <c r="X56" s="74">
        <v>16</v>
      </c>
      <c r="Y56" s="74">
        <v>16</v>
      </c>
      <c r="Z56" s="74">
        <v>22</v>
      </c>
      <c r="AA56" s="74">
        <v>20</v>
      </c>
      <c r="AB56" s="53">
        <f>SQRT((V50-V56)*(V50-V56)+(W50-W56)*(W50-W56)+(X50-X56)*(X50-X56)+(Y50-Y56)*(Y50-Y56)+(Z50-Z56)*(Z50-Z56)+(AA50-AA56)*(AA50-AA56))</f>
        <v>5.65685424949238</v>
      </c>
      <c r="AC56" s="74"/>
    </row>
  </sheetData>
  <mergeCells count="35">
    <mergeCell ref="B9:K9"/>
    <mergeCell ref="B16:K16"/>
    <mergeCell ref="B25:G25"/>
    <mergeCell ref="L25:Q25"/>
    <mergeCell ref="V25:AA25"/>
    <mergeCell ref="D26:G26"/>
    <mergeCell ref="L26:M26"/>
    <mergeCell ref="O26:Q26"/>
    <mergeCell ref="V26:W26"/>
    <mergeCell ref="Y26:AA26"/>
    <mergeCell ref="C37:D37"/>
    <mergeCell ref="E37:G37"/>
    <mergeCell ref="L37:M37"/>
    <mergeCell ref="O37:Q37"/>
    <mergeCell ref="V37:W37"/>
    <mergeCell ref="X37:Y37"/>
    <mergeCell ref="Z37:AA37"/>
    <mergeCell ref="C48:E48"/>
    <mergeCell ref="F48:G48"/>
    <mergeCell ref="M48:N48"/>
    <mergeCell ref="O48:Q48"/>
    <mergeCell ref="W48:Y48"/>
    <mergeCell ref="Z48:AA48"/>
    <mergeCell ref="B3:B8"/>
    <mergeCell ref="B10:B15"/>
    <mergeCell ref="B17:B22"/>
    <mergeCell ref="K3:K4"/>
    <mergeCell ref="K5:K6"/>
    <mergeCell ref="K7:K8"/>
    <mergeCell ref="K10:K11"/>
    <mergeCell ref="K12:K13"/>
    <mergeCell ref="K14:K15"/>
    <mergeCell ref="K17:K18"/>
    <mergeCell ref="K19:K20"/>
    <mergeCell ref="K21:K22"/>
  </mergeCells>
  <pageMargins left="0.75" right="0.75" top="1" bottom="1" header="0.5" footer="0.5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65"/>
  <sheetViews>
    <sheetView tabSelected="1" topLeftCell="AI5" workbookViewId="0">
      <selection activeCell="AW20" sqref="AX10:AX37 AW20"/>
    </sheetView>
  </sheetViews>
  <sheetFormatPr defaultColWidth="9" defaultRowHeight="14.25"/>
  <cols>
    <col min="2" max="2" width="14.75" style="4" customWidth="1"/>
    <col min="3" max="10" width="9" style="5"/>
  </cols>
  <sheetData>
    <row r="1" ht="15" spans="1:58">
      <c r="B1" s="6" t="s">
        <v>134</v>
      </c>
      <c r="C1" s="7"/>
      <c r="D1" s="7"/>
      <c r="E1" s="7"/>
      <c r="F1" s="7"/>
      <c r="G1" s="7"/>
      <c r="H1" s="7"/>
      <c r="I1" s="7"/>
      <c r="J1" s="7"/>
      <c r="N1" s="8" t="s">
        <v>135</v>
      </c>
      <c r="O1" s="9"/>
      <c r="P1" s="9"/>
      <c r="Q1" s="9"/>
      <c r="R1" s="9"/>
      <c r="S1" s="9"/>
      <c r="T1" s="9"/>
      <c r="U1" s="9"/>
      <c r="V1" s="9"/>
      <c r="Z1" s="6" t="s">
        <v>136</v>
      </c>
      <c r="AA1" s="7"/>
      <c r="AB1" s="7"/>
      <c r="AC1" s="7"/>
      <c r="AD1" s="7"/>
      <c r="AE1" s="7"/>
      <c r="AF1" s="7"/>
      <c r="AG1" s="7"/>
      <c r="AH1" s="7"/>
      <c r="AL1" s="8" t="s">
        <v>137</v>
      </c>
      <c r="AM1" s="9"/>
      <c r="AN1" s="9"/>
      <c r="AO1" s="9"/>
      <c r="AP1" s="9"/>
      <c r="AQ1" s="9"/>
      <c r="AR1" s="9"/>
      <c r="AS1" s="9"/>
      <c r="AT1" s="9"/>
      <c r="AX1" s="8" t="s">
        <v>138</v>
      </c>
      <c r="AY1" s="9"/>
      <c r="AZ1" s="9"/>
      <c r="BA1" s="9"/>
      <c r="BB1" s="9"/>
      <c r="BC1" s="9"/>
      <c r="BD1" s="9"/>
      <c r="BE1" s="9"/>
      <c r="BF1" s="9"/>
    </row>
    <row r="2" ht="15" spans="1:58">
      <c r="B2" s="6"/>
      <c r="C2" s="10" t="s">
        <v>139</v>
      </c>
      <c r="D2" s="10" t="s">
        <v>140</v>
      </c>
      <c r="E2" s="10" t="s">
        <v>141</v>
      </c>
      <c r="F2" s="10" t="s">
        <v>142</v>
      </c>
      <c r="G2" s="10" t="s">
        <v>143</v>
      </c>
      <c r="H2" s="10" t="s">
        <v>144</v>
      </c>
      <c r="I2" s="10" t="s">
        <v>145</v>
      </c>
      <c r="J2" s="10" t="s">
        <v>146</v>
      </c>
      <c r="N2" s="8"/>
      <c r="O2" s="10" t="s">
        <v>139</v>
      </c>
      <c r="P2" s="10" t="s">
        <v>140</v>
      </c>
      <c r="Q2" s="10" t="s">
        <v>141</v>
      </c>
      <c r="R2" s="10" t="s">
        <v>142</v>
      </c>
      <c r="S2" s="10" t="s">
        <v>143</v>
      </c>
      <c r="T2" s="10" t="s">
        <v>144</v>
      </c>
      <c r="U2" s="10" t="s">
        <v>145</v>
      </c>
      <c r="V2" s="10" t="s">
        <v>146</v>
      </c>
      <c r="Z2" s="6"/>
      <c r="AA2" s="7"/>
      <c r="AB2" s="7"/>
      <c r="AC2" s="7"/>
      <c r="AD2" s="7"/>
      <c r="AE2" s="7"/>
      <c r="AF2" s="7"/>
      <c r="AG2" s="7"/>
      <c r="AH2" s="7"/>
      <c r="AL2" s="8"/>
      <c r="AM2" s="10" t="s">
        <v>139</v>
      </c>
      <c r="AN2" s="10" t="s">
        <v>140</v>
      </c>
      <c r="AO2" s="10" t="s">
        <v>141</v>
      </c>
      <c r="AP2" s="10" t="s">
        <v>142</v>
      </c>
      <c r="AQ2" s="10" t="s">
        <v>143</v>
      </c>
      <c r="AR2" s="10" t="s">
        <v>144</v>
      </c>
      <c r="AS2" s="10" t="s">
        <v>145</v>
      </c>
      <c r="AT2" s="10" t="s">
        <v>146</v>
      </c>
      <c r="AX2" s="8"/>
      <c r="AY2" s="10" t="s">
        <v>139</v>
      </c>
      <c r="AZ2" s="10" t="s">
        <v>140</v>
      </c>
      <c r="BA2" s="10" t="s">
        <v>141</v>
      </c>
      <c r="BB2" s="10" t="s">
        <v>142</v>
      </c>
      <c r="BC2" s="10" t="s">
        <v>143</v>
      </c>
      <c r="BD2" s="10" t="s">
        <v>144</v>
      </c>
      <c r="BE2" s="10" t="s">
        <v>145</v>
      </c>
      <c r="BF2" s="10" t="s">
        <v>146</v>
      </c>
    </row>
    <row r="3" ht="15" spans="1:58">
      <c r="C3" s="11" t="s">
        <v>147</v>
      </c>
      <c r="D3" s="11" t="s">
        <v>148</v>
      </c>
      <c r="E3" s="11" t="s">
        <v>64</v>
      </c>
      <c r="F3" s="11" t="s">
        <v>63</v>
      </c>
      <c r="G3" s="11" t="s">
        <v>65</v>
      </c>
      <c r="H3" s="11" t="s">
        <v>67</v>
      </c>
      <c r="I3" s="11" t="s">
        <v>66</v>
      </c>
      <c r="J3" s="12" t="s">
        <v>68</v>
      </c>
      <c r="N3" s="13"/>
      <c r="O3" s="11" t="s">
        <v>147</v>
      </c>
      <c r="P3" s="11" t="s">
        <v>148</v>
      </c>
      <c r="Q3" s="11" t="s">
        <v>64</v>
      </c>
      <c r="R3" s="11" t="s">
        <v>63</v>
      </c>
      <c r="S3" s="11" t="s">
        <v>65</v>
      </c>
      <c r="T3" s="11" t="s">
        <v>67</v>
      </c>
      <c r="U3" s="11" t="s">
        <v>66</v>
      </c>
      <c r="V3" s="12" t="s">
        <v>68</v>
      </c>
      <c r="Z3" s="4"/>
      <c r="AA3" s="11" t="s">
        <v>147</v>
      </c>
      <c r="AB3" s="11" t="s">
        <v>148</v>
      </c>
      <c r="AC3" s="11" t="s">
        <v>64</v>
      </c>
      <c r="AD3" s="11" t="s">
        <v>63</v>
      </c>
      <c r="AE3" s="11" t="s">
        <v>65</v>
      </c>
      <c r="AF3" s="11" t="s">
        <v>67</v>
      </c>
      <c r="AG3" s="11" t="s">
        <v>66</v>
      </c>
      <c r="AH3" s="12" t="s">
        <v>68</v>
      </c>
      <c r="AL3" s="13"/>
      <c r="AM3" s="11" t="s">
        <v>147</v>
      </c>
      <c r="AN3" s="11" t="s">
        <v>148</v>
      </c>
      <c r="AO3" s="11" t="s">
        <v>64</v>
      </c>
      <c r="AP3" s="11" t="s">
        <v>63</v>
      </c>
      <c r="AQ3" s="11" t="s">
        <v>65</v>
      </c>
      <c r="AR3" s="11" t="s">
        <v>67</v>
      </c>
      <c r="AS3" s="11" t="s">
        <v>66</v>
      </c>
      <c r="AT3" s="12" t="s">
        <v>68</v>
      </c>
      <c r="AX3" s="13"/>
      <c r="AY3" s="10" t="s">
        <v>149</v>
      </c>
      <c r="AZ3" s="10" t="s">
        <v>148</v>
      </c>
      <c r="BA3" s="10" t="s">
        <v>64</v>
      </c>
      <c r="BB3" s="10" t="s">
        <v>63</v>
      </c>
      <c r="BC3" s="10" t="s">
        <v>65</v>
      </c>
      <c r="BD3" s="10" t="s">
        <v>67</v>
      </c>
      <c r="BE3" s="10" t="s">
        <v>66</v>
      </c>
      <c r="BF3" s="14" t="s">
        <v>68</v>
      </c>
    </row>
    <row r="4" s="1" customFormat="1" ht="15.75" spans="1:58">
      <c r="B4" s="15" t="s">
        <v>150</v>
      </c>
      <c r="C4" s="16">
        <v>0.3293</v>
      </c>
      <c r="D4" s="16">
        <v>0.2721</v>
      </c>
      <c r="E4" s="16">
        <v>0.4476</v>
      </c>
      <c r="F4" s="16">
        <v>0.2014</v>
      </c>
      <c r="G4" s="16">
        <v>0.1544</v>
      </c>
      <c r="H4" s="16">
        <v>0.1992</v>
      </c>
      <c r="I4" s="16">
        <v>0.3403</v>
      </c>
      <c r="J4" s="16">
        <v>0.2012</v>
      </c>
      <c r="N4" s="17" t="s">
        <v>150</v>
      </c>
      <c r="O4" s="18">
        <v>0.0793</v>
      </c>
      <c r="P4" s="18">
        <v>0.0828</v>
      </c>
      <c r="Q4" s="18">
        <v>0.0182</v>
      </c>
      <c r="R4" s="18">
        <v>0.2438</v>
      </c>
      <c r="S4" s="18">
        <v>0.3636</v>
      </c>
      <c r="T4" s="18">
        <v>0.0772</v>
      </c>
      <c r="U4" s="18">
        <v>0.3395</v>
      </c>
      <c r="V4" s="18">
        <v>0.0551</v>
      </c>
      <c r="Z4" s="15" t="s">
        <v>150</v>
      </c>
      <c r="AA4" s="16">
        <v>0.1725</v>
      </c>
      <c r="AB4" s="16">
        <v>0.0014</v>
      </c>
      <c r="AC4" s="16">
        <v>0.229</v>
      </c>
      <c r="AD4" s="16">
        <v>0.0619</v>
      </c>
      <c r="AE4" s="16">
        <v>0.3943</v>
      </c>
      <c r="AF4" s="16">
        <v>0.2199</v>
      </c>
      <c r="AG4" s="16">
        <v>0.1622</v>
      </c>
      <c r="AH4" s="16">
        <v>0.0794</v>
      </c>
      <c r="AL4" s="17" t="s">
        <v>150</v>
      </c>
      <c r="AM4" s="18">
        <v>0.3095</v>
      </c>
      <c r="AN4" s="18">
        <v>0.1584</v>
      </c>
      <c r="AO4" s="18">
        <v>0.1723</v>
      </c>
      <c r="AP4" s="18">
        <v>0.335</v>
      </c>
      <c r="AQ4" s="18">
        <v>0.2566</v>
      </c>
      <c r="AR4" s="18">
        <v>0.1459</v>
      </c>
      <c r="AS4" s="18">
        <v>0.4953</v>
      </c>
      <c r="AT4" s="18">
        <v>0.0732</v>
      </c>
      <c r="AX4" s="19" t="s">
        <v>150</v>
      </c>
      <c r="AY4" s="20">
        <v>0.3845</v>
      </c>
      <c r="AZ4" s="20">
        <v>0.2793</v>
      </c>
      <c r="BA4" s="20">
        <v>0.4242</v>
      </c>
      <c r="BB4" s="20">
        <v>0.1572</v>
      </c>
      <c r="BC4" s="20">
        <v>0.1596</v>
      </c>
      <c r="BD4" s="20">
        <v>0.1886</v>
      </c>
      <c r="BE4" s="20">
        <v>0.3923</v>
      </c>
      <c r="BF4" s="20">
        <v>0.1926</v>
      </c>
    </row>
    <row r="5" ht="31.5" spans="1:58">
      <c r="B5" s="21" t="s">
        <v>151</v>
      </c>
      <c r="C5" s="22" t="s">
        <v>81</v>
      </c>
      <c r="D5" s="22" t="s">
        <v>81</v>
      </c>
      <c r="E5" s="22" t="s">
        <v>81</v>
      </c>
      <c r="F5" s="22" t="s">
        <v>81</v>
      </c>
      <c r="G5" s="22" t="s">
        <v>81</v>
      </c>
      <c r="H5" s="22" t="s">
        <v>81</v>
      </c>
      <c r="I5" s="22" t="s">
        <v>81</v>
      </c>
      <c r="J5" s="22" t="s">
        <v>81</v>
      </c>
      <c r="N5" s="23" t="s">
        <v>151</v>
      </c>
      <c r="O5" s="22" t="s">
        <v>81</v>
      </c>
      <c r="P5" s="22" t="s">
        <v>81</v>
      </c>
      <c r="Q5" s="22" t="s">
        <v>152</v>
      </c>
      <c r="R5" s="22" t="s">
        <v>81</v>
      </c>
      <c r="S5" s="22" t="s">
        <v>81</v>
      </c>
      <c r="T5" s="22" t="s">
        <v>81</v>
      </c>
      <c r="U5" s="22" t="s">
        <v>81</v>
      </c>
      <c r="V5" s="22" t="s">
        <v>81</v>
      </c>
      <c r="Z5" s="21" t="s">
        <v>151</v>
      </c>
      <c r="AA5" s="22" t="s">
        <v>81</v>
      </c>
      <c r="AB5" s="22" t="s">
        <v>81</v>
      </c>
      <c r="AC5" s="22" t="s">
        <v>81</v>
      </c>
      <c r="AD5" s="22" t="s">
        <v>81</v>
      </c>
      <c r="AE5" s="22" t="s">
        <v>81</v>
      </c>
      <c r="AF5" s="22" t="s">
        <v>81</v>
      </c>
      <c r="AG5" s="22" t="s">
        <v>81</v>
      </c>
      <c r="AH5" s="22" t="s">
        <v>81</v>
      </c>
      <c r="AL5" s="23" t="s">
        <v>151</v>
      </c>
      <c r="AM5" s="22" t="s">
        <v>81</v>
      </c>
      <c r="AN5" s="22" t="s">
        <v>81</v>
      </c>
      <c r="AO5" s="22" t="s">
        <v>81</v>
      </c>
      <c r="AP5" s="22" t="s">
        <v>81</v>
      </c>
      <c r="AQ5" s="22" t="s">
        <v>81</v>
      </c>
      <c r="AR5" s="22" t="s">
        <v>81</v>
      </c>
      <c r="AS5" s="22" t="s">
        <v>81</v>
      </c>
      <c r="AT5" s="22" t="s">
        <v>81</v>
      </c>
      <c r="AX5" s="24" t="s">
        <v>151</v>
      </c>
      <c r="AY5" s="25" t="s">
        <v>81</v>
      </c>
      <c r="AZ5" s="25" t="s">
        <v>81</v>
      </c>
      <c r="BA5" s="25" t="s">
        <v>81</v>
      </c>
      <c r="BB5" s="25" t="s">
        <v>81</v>
      </c>
      <c r="BC5" s="25" t="s">
        <v>81</v>
      </c>
      <c r="BD5" s="25" t="s">
        <v>81</v>
      </c>
      <c r="BE5" s="25" t="s">
        <v>81</v>
      </c>
      <c r="BF5" s="25" t="s">
        <v>81</v>
      </c>
    </row>
    <row r="6" ht="30" customHeight="1" spans="1:58">
      <c r="B6" s="21" t="s">
        <v>153</v>
      </c>
      <c r="C6" s="21" t="s">
        <v>154</v>
      </c>
      <c r="D6" s="21"/>
      <c r="E6" s="21"/>
      <c r="F6" s="21"/>
      <c r="G6" s="21"/>
      <c r="H6" s="21"/>
      <c r="I6" s="21"/>
      <c r="J6" s="21"/>
      <c r="N6" s="23" t="s">
        <v>153</v>
      </c>
      <c r="O6" s="23" t="s">
        <v>154</v>
      </c>
      <c r="P6" s="23"/>
      <c r="Q6" s="23"/>
      <c r="R6" s="23"/>
      <c r="S6" s="23"/>
      <c r="T6" s="23"/>
      <c r="U6" s="23"/>
      <c r="V6" s="23"/>
      <c r="Z6" s="21" t="s">
        <v>153</v>
      </c>
      <c r="AA6" s="21" t="s">
        <v>154</v>
      </c>
      <c r="AB6" s="21"/>
      <c r="AC6" s="21"/>
      <c r="AD6" s="21"/>
      <c r="AE6" s="21"/>
      <c r="AF6" s="21"/>
      <c r="AG6" s="21"/>
      <c r="AH6" s="21"/>
      <c r="AL6" s="23" t="s">
        <v>153</v>
      </c>
      <c r="AM6" s="23" t="s">
        <v>154</v>
      </c>
      <c r="AN6" s="23"/>
      <c r="AO6" s="23"/>
      <c r="AP6" s="23"/>
      <c r="AQ6" s="23"/>
      <c r="AR6" s="23"/>
      <c r="AS6" s="23"/>
      <c r="AT6" s="23"/>
      <c r="AX6" s="24" t="s">
        <v>153</v>
      </c>
      <c r="AY6" s="24" t="s">
        <v>154</v>
      </c>
      <c r="AZ6" s="24"/>
      <c r="BA6" s="24"/>
      <c r="BB6" s="24"/>
      <c r="BC6" s="24"/>
      <c r="BD6" s="24"/>
      <c r="BE6" s="24"/>
      <c r="BF6" s="24"/>
    </row>
    <row r="8" ht="15" spans="1:58">
      <c r="AY8" s="26" t="s">
        <v>155</v>
      </c>
      <c r="AZ8" s="27"/>
      <c r="BA8" s="27"/>
      <c r="BB8" s="27"/>
      <c r="BC8" s="27"/>
      <c r="BD8" s="27"/>
      <c r="BE8" s="27"/>
    </row>
    <row r="9" s="2" customFormat="1" ht="15" spans="1:58">
      <c r="B9" s="26" t="s">
        <v>155</v>
      </c>
      <c r="C9" s="27"/>
      <c r="D9" s="27"/>
      <c r="E9" s="27"/>
      <c r="F9" s="27"/>
      <c r="G9" s="27"/>
      <c r="H9" s="27"/>
      <c r="I9" s="28"/>
      <c r="J9" s="28"/>
      <c r="N9" s="26" t="s">
        <v>155</v>
      </c>
      <c r="O9" s="27"/>
      <c r="P9" s="27"/>
      <c r="Q9" s="27"/>
      <c r="R9" s="27"/>
      <c r="S9" s="27"/>
      <c r="T9" s="27"/>
      <c r="AA9" s="26" t="s">
        <v>155</v>
      </c>
      <c r="AB9" s="27"/>
      <c r="AC9" s="27"/>
      <c r="AD9" s="27"/>
      <c r="AE9" s="27"/>
      <c r="AF9" s="27"/>
      <c r="AG9" s="27"/>
      <c r="AM9" s="26" t="s">
        <v>155</v>
      </c>
      <c r="AN9" s="27"/>
      <c r="AO9" s="27"/>
      <c r="AP9" s="27"/>
      <c r="AQ9" s="27"/>
      <c r="AR9" s="27"/>
      <c r="AS9" s="27"/>
      <c r="AY9" s="29" t="s">
        <v>156</v>
      </c>
      <c r="AZ9" s="29" t="s">
        <v>157</v>
      </c>
      <c r="BA9" s="29" t="s">
        <v>158</v>
      </c>
      <c r="BB9" s="29" t="s">
        <v>159</v>
      </c>
      <c r="BC9" s="29" t="s">
        <v>160</v>
      </c>
      <c r="BD9" s="29" t="s">
        <v>161</v>
      </c>
      <c r="BE9" s="29" t="s">
        <v>162</v>
      </c>
    </row>
    <row r="10" ht="15.75" spans="1:58">
      <c r="B10" s="30" t="s">
        <v>156</v>
      </c>
      <c r="C10" s="30" t="s">
        <v>157</v>
      </c>
      <c r="D10" s="30" t="s">
        <v>158</v>
      </c>
      <c r="E10" s="30" t="s">
        <v>159</v>
      </c>
      <c r="F10" s="30" t="s">
        <v>160</v>
      </c>
      <c r="G10" s="30" t="s">
        <v>161</v>
      </c>
      <c r="H10" s="30" t="s">
        <v>162</v>
      </c>
      <c r="O10" s="29" t="s">
        <v>156</v>
      </c>
      <c r="P10" s="29" t="s">
        <v>157</v>
      </c>
      <c r="Q10" s="29" t="s">
        <v>158</v>
      </c>
      <c r="R10" s="29" t="s">
        <v>159</v>
      </c>
      <c r="S10" s="29" t="s">
        <v>160</v>
      </c>
      <c r="T10" s="29" t="s">
        <v>161</v>
      </c>
      <c r="U10" s="29" t="s">
        <v>162</v>
      </c>
      <c r="AA10" s="29" t="s">
        <v>156</v>
      </c>
      <c r="AB10" s="29" t="s">
        <v>157</v>
      </c>
      <c r="AC10" s="29" t="s">
        <v>158</v>
      </c>
      <c r="AD10" s="29" t="s">
        <v>159</v>
      </c>
      <c r="AE10" s="29" t="s">
        <v>160</v>
      </c>
      <c r="AF10" s="29" t="s">
        <v>161</v>
      </c>
      <c r="AG10" s="29" t="s">
        <v>162</v>
      </c>
      <c r="AM10" s="29" t="s">
        <v>156</v>
      </c>
      <c r="AN10" s="29" t="s">
        <v>157</v>
      </c>
      <c r="AO10" s="29" t="s">
        <v>158</v>
      </c>
      <c r="AP10" s="29" t="s">
        <v>159</v>
      </c>
      <c r="AQ10" s="29" t="s">
        <v>160</v>
      </c>
      <c r="AR10" s="29" t="s">
        <v>161</v>
      </c>
      <c r="AS10" s="29" t="s">
        <v>162</v>
      </c>
      <c r="AX10" s="31">
        <v>1</v>
      </c>
      <c r="AY10" s="29" t="s">
        <v>147</v>
      </c>
      <c r="AZ10" s="29" t="s">
        <v>148</v>
      </c>
      <c r="BA10" s="32">
        <v>45.632</v>
      </c>
      <c r="BB10" s="32">
        <v>29.3266</v>
      </c>
      <c r="BC10" s="32">
        <v>61.9374</v>
      </c>
      <c r="BD10" s="32">
        <v>0</v>
      </c>
      <c r="BE10" s="29" t="s">
        <v>163</v>
      </c>
    </row>
    <row r="11" ht="15.75" spans="1:58">
      <c r="A11" s="31">
        <v>1</v>
      </c>
      <c r="B11" s="30" t="s">
        <v>147</v>
      </c>
      <c r="C11" s="30" t="s">
        <v>68</v>
      </c>
      <c r="D11" s="30">
        <v>24.4203</v>
      </c>
      <c r="E11" s="30">
        <v>17.8663</v>
      </c>
      <c r="F11" s="30">
        <v>30.9744</v>
      </c>
      <c r="G11" s="30">
        <v>0</v>
      </c>
      <c r="H11" s="30" t="s">
        <v>163</v>
      </c>
      <c r="N11" s="31">
        <v>1</v>
      </c>
      <c r="O11" s="29" t="s">
        <v>147</v>
      </c>
      <c r="P11" s="29" t="s">
        <v>148</v>
      </c>
      <c r="Q11" s="32">
        <v>-6.436</v>
      </c>
      <c r="R11" s="32">
        <v>-19.6601</v>
      </c>
      <c r="S11" s="32">
        <v>6.7881</v>
      </c>
      <c r="T11" s="32">
        <v>0.821</v>
      </c>
      <c r="U11" s="32"/>
      <c r="Z11" s="31">
        <v>1</v>
      </c>
      <c r="AA11" s="29" t="s">
        <v>147</v>
      </c>
      <c r="AB11" s="29" t="s">
        <v>148</v>
      </c>
      <c r="AC11" s="32">
        <v>9.9477</v>
      </c>
      <c r="AD11" s="32">
        <v>-9.2778</v>
      </c>
      <c r="AE11" s="32">
        <v>29.1731</v>
      </c>
      <c r="AF11" s="32">
        <v>0.7695</v>
      </c>
      <c r="AG11" s="32"/>
      <c r="AL11" s="31">
        <v>1</v>
      </c>
      <c r="AM11" s="29" t="s">
        <v>147</v>
      </c>
      <c r="AN11" s="29" t="s">
        <v>148</v>
      </c>
      <c r="AO11" s="32">
        <v>21.732</v>
      </c>
      <c r="AP11" s="32">
        <v>4.2649</v>
      </c>
      <c r="AQ11" s="32">
        <v>39.1991</v>
      </c>
      <c r="AR11" s="32">
        <v>0.004</v>
      </c>
      <c r="AS11" s="29" t="s">
        <v>164</v>
      </c>
      <c r="AX11" s="31">
        <v>2</v>
      </c>
      <c r="AY11" s="29" t="s">
        <v>147</v>
      </c>
      <c r="AZ11" s="29" t="s">
        <v>64</v>
      </c>
      <c r="BA11" s="32">
        <v>-32.5187</v>
      </c>
      <c r="BB11" s="32">
        <v>-48.824</v>
      </c>
      <c r="BC11" s="32">
        <v>-16.2133</v>
      </c>
      <c r="BD11" s="32">
        <v>0</v>
      </c>
      <c r="BE11" s="29" t="s">
        <v>163</v>
      </c>
    </row>
    <row r="12" ht="15.75" spans="1:58">
      <c r="A12" s="31">
        <v>2</v>
      </c>
      <c r="B12" s="30" t="s">
        <v>148</v>
      </c>
      <c r="C12" s="30" t="s">
        <v>68</v>
      </c>
      <c r="D12" s="30">
        <v>21.0487</v>
      </c>
      <c r="E12" s="30">
        <v>14.4946</v>
      </c>
      <c r="F12" s="30">
        <v>27.6027</v>
      </c>
      <c r="G12" s="30">
        <v>0</v>
      </c>
      <c r="H12" s="30" t="s">
        <v>163</v>
      </c>
      <c r="N12" s="31">
        <v>2</v>
      </c>
      <c r="O12" s="29" t="s">
        <v>147</v>
      </c>
      <c r="P12" s="29" t="s">
        <v>64</v>
      </c>
      <c r="Q12" s="32">
        <v>-34.1427</v>
      </c>
      <c r="R12" s="32">
        <v>-47.3667</v>
      </c>
      <c r="S12" s="32">
        <v>-20.9186</v>
      </c>
      <c r="T12" s="32">
        <v>0</v>
      </c>
      <c r="U12" s="29" t="s">
        <v>163</v>
      </c>
      <c r="Z12" s="31">
        <v>2</v>
      </c>
      <c r="AA12" s="29" t="s">
        <v>147</v>
      </c>
      <c r="AB12" s="29" t="s">
        <v>64</v>
      </c>
      <c r="AC12" s="32">
        <v>-88.187</v>
      </c>
      <c r="AD12" s="32">
        <v>-107.4124</v>
      </c>
      <c r="AE12" s="32">
        <v>-68.9616</v>
      </c>
      <c r="AF12" s="32">
        <v>0</v>
      </c>
      <c r="AG12" s="29" t="s">
        <v>163</v>
      </c>
      <c r="AL12" s="31">
        <v>2</v>
      </c>
      <c r="AM12" s="29" t="s">
        <v>147</v>
      </c>
      <c r="AN12" s="29" t="s">
        <v>64</v>
      </c>
      <c r="AO12" s="32">
        <v>-46.374</v>
      </c>
      <c r="AP12" s="32">
        <v>-63.8411</v>
      </c>
      <c r="AQ12" s="32">
        <v>-28.9069</v>
      </c>
      <c r="AR12" s="32">
        <v>0</v>
      </c>
      <c r="AS12" s="29" t="s">
        <v>163</v>
      </c>
      <c r="AX12" s="31">
        <v>3</v>
      </c>
      <c r="AY12" s="29" t="s">
        <v>147</v>
      </c>
      <c r="AZ12" s="29" t="s">
        <v>63</v>
      </c>
      <c r="BA12" s="32">
        <v>4.1787</v>
      </c>
      <c r="BB12" s="32">
        <v>-12.1267</v>
      </c>
      <c r="BC12" s="32">
        <v>20.484</v>
      </c>
      <c r="BD12" s="32">
        <v>0.9943</v>
      </c>
      <c r="BE12" s="32"/>
    </row>
    <row r="13" ht="15.75" spans="1:58">
      <c r="A13" s="31">
        <v>3</v>
      </c>
      <c r="B13" s="30" t="s">
        <v>64</v>
      </c>
      <c r="C13" s="30" t="s">
        <v>68</v>
      </c>
      <c r="D13" s="30">
        <v>42.7623</v>
      </c>
      <c r="E13" s="30">
        <v>36.2083</v>
      </c>
      <c r="F13" s="30">
        <v>49.3164</v>
      </c>
      <c r="G13" s="30">
        <v>0</v>
      </c>
      <c r="H13" s="30" t="s">
        <v>163</v>
      </c>
      <c r="N13" s="31">
        <v>3</v>
      </c>
      <c r="O13" s="29" t="s">
        <v>147</v>
      </c>
      <c r="P13" s="29" t="s">
        <v>63</v>
      </c>
      <c r="Q13" s="32">
        <v>-6.4917</v>
      </c>
      <c r="R13" s="32">
        <v>-19.7157</v>
      </c>
      <c r="S13" s="32">
        <v>6.7324</v>
      </c>
      <c r="T13" s="32">
        <v>0.8143</v>
      </c>
      <c r="U13" s="32"/>
      <c r="Z13" s="31">
        <v>3</v>
      </c>
      <c r="AA13" s="29" t="s">
        <v>147</v>
      </c>
      <c r="AB13" s="29" t="s">
        <v>63</v>
      </c>
      <c r="AC13" s="32">
        <v>-13.535</v>
      </c>
      <c r="AD13" s="32">
        <v>-32.7604</v>
      </c>
      <c r="AE13" s="32">
        <v>5.6904</v>
      </c>
      <c r="AF13" s="32">
        <v>0.3929</v>
      </c>
      <c r="AG13" s="32"/>
      <c r="AL13" s="31">
        <v>3</v>
      </c>
      <c r="AM13" s="29" t="s">
        <v>147</v>
      </c>
      <c r="AN13" s="29" t="s">
        <v>63</v>
      </c>
      <c r="AO13" s="32">
        <v>0.0703</v>
      </c>
      <c r="AP13" s="32">
        <v>-17.3968</v>
      </c>
      <c r="AQ13" s="32">
        <v>17.5374</v>
      </c>
      <c r="AR13" s="32">
        <v>1</v>
      </c>
      <c r="AS13" s="32"/>
      <c r="AX13" s="31">
        <v>4</v>
      </c>
      <c r="AY13" s="29" t="s">
        <v>147</v>
      </c>
      <c r="AZ13" s="29" t="s">
        <v>65</v>
      </c>
      <c r="BA13" s="32">
        <v>54.7993</v>
      </c>
      <c r="BB13" s="32">
        <v>38.494</v>
      </c>
      <c r="BC13" s="32">
        <v>71.1047</v>
      </c>
      <c r="BD13" s="32">
        <v>0</v>
      </c>
      <c r="BE13" s="29" t="s">
        <v>163</v>
      </c>
    </row>
    <row r="14" ht="15.75" spans="1:58">
      <c r="A14" s="31">
        <v>4</v>
      </c>
      <c r="B14" s="30" t="s">
        <v>63</v>
      </c>
      <c r="C14" s="30" t="s">
        <v>68</v>
      </c>
      <c r="D14" s="30">
        <v>26.7847</v>
      </c>
      <c r="E14" s="30">
        <v>20.2306</v>
      </c>
      <c r="F14" s="30">
        <v>33.3387</v>
      </c>
      <c r="G14" s="30">
        <v>0</v>
      </c>
      <c r="H14" s="30" t="s">
        <v>163</v>
      </c>
      <c r="N14" s="31">
        <v>4</v>
      </c>
      <c r="O14" s="29" t="s">
        <v>147</v>
      </c>
      <c r="P14" s="29" t="s">
        <v>65</v>
      </c>
      <c r="Q14" s="32">
        <v>5.2027</v>
      </c>
      <c r="R14" s="32">
        <v>-8.0214</v>
      </c>
      <c r="S14" s="32">
        <v>18.4267</v>
      </c>
      <c r="T14" s="32">
        <v>0.9344</v>
      </c>
      <c r="U14" s="32"/>
      <c r="Z14" s="31">
        <v>4</v>
      </c>
      <c r="AA14" s="29" t="s">
        <v>147</v>
      </c>
      <c r="AB14" s="29" t="s">
        <v>65</v>
      </c>
      <c r="AC14" s="32">
        <v>20.3177</v>
      </c>
      <c r="AD14" s="32">
        <v>1.0922</v>
      </c>
      <c r="AE14" s="32">
        <v>39.5431</v>
      </c>
      <c r="AF14" s="32">
        <v>0.0296</v>
      </c>
      <c r="AG14" s="29" t="s">
        <v>165</v>
      </c>
      <c r="AL14" s="31">
        <v>4</v>
      </c>
      <c r="AM14" s="29" t="s">
        <v>147</v>
      </c>
      <c r="AN14" s="29" t="s">
        <v>65</v>
      </c>
      <c r="AO14" s="32">
        <v>36.2377</v>
      </c>
      <c r="AP14" s="32">
        <v>18.7706</v>
      </c>
      <c r="AQ14" s="32">
        <v>53.7048</v>
      </c>
      <c r="AR14" s="32">
        <v>0</v>
      </c>
      <c r="AS14" s="29" t="s">
        <v>163</v>
      </c>
      <c r="AX14" s="31">
        <v>5</v>
      </c>
      <c r="AY14" s="29" t="s">
        <v>147</v>
      </c>
      <c r="AZ14" s="29" t="s">
        <v>67</v>
      </c>
      <c r="BA14" s="32">
        <v>64.9617</v>
      </c>
      <c r="BB14" s="32">
        <v>48.6563</v>
      </c>
      <c r="BC14" s="32">
        <v>81.267</v>
      </c>
      <c r="BD14" s="32">
        <v>0</v>
      </c>
      <c r="BE14" s="29" t="s">
        <v>163</v>
      </c>
    </row>
    <row r="15" ht="15.75" spans="1:58">
      <c r="A15" s="31">
        <v>5</v>
      </c>
      <c r="B15" s="30" t="s">
        <v>65</v>
      </c>
      <c r="C15" s="30" t="s">
        <v>68</v>
      </c>
      <c r="D15" s="30">
        <v>15.3357</v>
      </c>
      <c r="E15" s="30">
        <v>8.7816</v>
      </c>
      <c r="F15" s="30">
        <v>21.8897</v>
      </c>
      <c r="G15" s="30">
        <v>0</v>
      </c>
      <c r="H15" s="30" t="s">
        <v>163</v>
      </c>
      <c r="N15" s="31">
        <v>5</v>
      </c>
      <c r="O15" s="29" t="s">
        <v>147</v>
      </c>
      <c r="P15" s="29" t="s">
        <v>67</v>
      </c>
      <c r="Q15" s="32">
        <v>10.2427</v>
      </c>
      <c r="R15" s="32">
        <v>-2.9814</v>
      </c>
      <c r="S15" s="32">
        <v>23.4667</v>
      </c>
      <c r="T15" s="32">
        <v>0.2678</v>
      </c>
      <c r="U15" s="32"/>
      <c r="Z15" s="31">
        <v>5</v>
      </c>
      <c r="AA15" s="29" t="s">
        <v>147</v>
      </c>
      <c r="AB15" s="29" t="s">
        <v>67</v>
      </c>
      <c r="AC15" s="32">
        <v>30.329</v>
      </c>
      <c r="AD15" s="32">
        <v>11.1036</v>
      </c>
      <c r="AE15" s="32">
        <v>49.5544</v>
      </c>
      <c r="AF15" s="32">
        <v>0</v>
      </c>
      <c r="AG15" s="29" t="s">
        <v>163</v>
      </c>
      <c r="AL15" s="31">
        <v>5</v>
      </c>
      <c r="AM15" s="29" t="s">
        <v>147</v>
      </c>
      <c r="AN15" s="29" t="s">
        <v>67</v>
      </c>
      <c r="AO15" s="32">
        <v>53.7057</v>
      </c>
      <c r="AP15" s="32">
        <v>36.2386</v>
      </c>
      <c r="AQ15" s="32">
        <v>71.1728</v>
      </c>
      <c r="AR15" s="32">
        <v>0</v>
      </c>
      <c r="AS15" s="29" t="s">
        <v>163</v>
      </c>
      <c r="AX15" s="31">
        <v>6</v>
      </c>
      <c r="AY15" s="29" t="s">
        <v>147</v>
      </c>
      <c r="AZ15" s="29" t="s">
        <v>66</v>
      </c>
      <c r="BA15" s="32">
        <v>49.1257</v>
      </c>
      <c r="BB15" s="32">
        <v>32.8203</v>
      </c>
      <c r="BC15" s="32">
        <v>65.431</v>
      </c>
      <c r="BD15" s="32">
        <v>0</v>
      </c>
      <c r="BE15" s="29" t="s">
        <v>163</v>
      </c>
    </row>
    <row r="16" ht="15.75" spans="1:58">
      <c r="A16" s="31">
        <v>6</v>
      </c>
      <c r="B16" s="30" t="s">
        <v>67</v>
      </c>
      <c r="C16" s="30" t="s">
        <v>68</v>
      </c>
      <c r="D16" s="30">
        <v>13.202</v>
      </c>
      <c r="E16" s="30">
        <v>6.648</v>
      </c>
      <c r="F16" s="30">
        <v>19.756</v>
      </c>
      <c r="G16" s="30">
        <v>0</v>
      </c>
      <c r="H16" s="30" t="s">
        <v>163</v>
      </c>
      <c r="N16" s="31">
        <v>6</v>
      </c>
      <c r="O16" s="29" t="s">
        <v>147</v>
      </c>
      <c r="P16" s="29" t="s">
        <v>66</v>
      </c>
      <c r="Q16" s="32">
        <v>14.364</v>
      </c>
      <c r="R16" s="32">
        <v>1.1399</v>
      </c>
      <c r="S16" s="32">
        <v>27.5881</v>
      </c>
      <c r="T16" s="32">
        <v>0.0222</v>
      </c>
      <c r="U16" s="29" t="s">
        <v>165</v>
      </c>
      <c r="Z16" s="31">
        <v>6</v>
      </c>
      <c r="AA16" s="29" t="s">
        <v>147</v>
      </c>
      <c r="AB16" s="29" t="s">
        <v>66</v>
      </c>
      <c r="AC16" s="32">
        <v>23.6437</v>
      </c>
      <c r="AD16" s="32">
        <v>4.4182</v>
      </c>
      <c r="AE16" s="32">
        <v>42.8691</v>
      </c>
      <c r="AF16" s="32">
        <v>0.0048</v>
      </c>
      <c r="AG16" s="29" t="s">
        <v>164</v>
      </c>
      <c r="AL16" s="31">
        <v>6</v>
      </c>
      <c r="AM16" s="29" t="s">
        <v>147</v>
      </c>
      <c r="AN16" s="29" t="s">
        <v>66</v>
      </c>
      <c r="AO16" s="32">
        <v>44.6393</v>
      </c>
      <c r="AP16" s="32">
        <v>27.1722</v>
      </c>
      <c r="AQ16" s="32">
        <v>62.1064</v>
      </c>
      <c r="AR16" s="32">
        <v>0</v>
      </c>
      <c r="AS16" s="29" t="s">
        <v>163</v>
      </c>
      <c r="AX16" s="31">
        <v>7</v>
      </c>
      <c r="AY16" s="29" t="s">
        <v>147</v>
      </c>
      <c r="AZ16" s="29" t="s">
        <v>68</v>
      </c>
      <c r="BA16" s="32">
        <v>110.1797</v>
      </c>
      <c r="BB16" s="32">
        <v>93.8743</v>
      </c>
      <c r="BC16" s="32">
        <v>126.485</v>
      </c>
      <c r="BD16" s="32">
        <v>0</v>
      </c>
      <c r="BE16" s="29" t="s">
        <v>163</v>
      </c>
    </row>
    <row r="17" ht="15.75" spans="1:57">
      <c r="A17" s="31">
        <v>7</v>
      </c>
      <c r="B17" s="30" t="s">
        <v>66</v>
      </c>
      <c r="C17" s="30" t="s">
        <v>68</v>
      </c>
      <c r="D17" s="30">
        <v>8.7623</v>
      </c>
      <c r="E17" s="30">
        <v>2.2083</v>
      </c>
      <c r="F17" s="30">
        <v>15.3164</v>
      </c>
      <c r="G17" s="30">
        <v>0.0013</v>
      </c>
      <c r="H17" s="30" t="s">
        <v>164</v>
      </c>
      <c r="N17" s="31">
        <v>7</v>
      </c>
      <c r="O17" s="29" t="s">
        <v>147</v>
      </c>
      <c r="P17" s="29" t="s">
        <v>68</v>
      </c>
      <c r="Q17" s="32">
        <v>30.1887</v>
      </c>
      <c r="R17" s="32">
        <v>16.9646</v>
      </c>
      <c r="S17" s="32">
        <v>43.4127</v>
      </c>
      <c r="T17" s="32">
        <v>0</v>
      </c>
      <c r="U17" s="29" t="s">
        <v>163</v>
      </c>
      <c r="Z17" s="31">
        <v>7</v>
      </c>
      <c r="AA17" s="29" t="s">
        <v>147</v>
      </c>
      <c r="AB17" s="29" t="s">
        <v>68</v>
      </c>
      <c r="AC17" s="32">
        <v>43.2417</v>
      </c>
      <c r="AD17" s="32">
        <v>24.0162</v>
      </c>
      <c r="AE17" s="32">
        <v>62.4671</v>
      </c>
      <c r="AF17" s="32">
        <v>0</v>
      </c>
      <c r="AG17" s="29" t="s">
        <v>163</v>
      </c>
      <c r="AL17" s="31">
        <v>7</v>
      </c>
      <c r="AM17" s="29" t="s">
        <v>147</v>
      </c>
      <c r="AN17" s="29" t="s">
        <v>68</v>
      </c>
      <c r="AO17" s="32">
        <v>86.762</v>
      </c>
      <c r="AP17" s="32">
        <v>69.2949</v>
      </c>
      <c r="AQ17" s="32">
        <v>104.2291</v>
      </c>
      <c r="AR17" s="32">
        <v>0</v>
      </c>
      <c r="AS17" s="29" t="s">
        <v>163</v>
      </c>
      <c r="AX17" s="31">
        <v>8</v>
      </c>
      <c r="AY17" s="29" t="s">
        <v>148</v>
      </c>
      <c r="AZ17" s="29" t="s">
        <v>64</v>
      </c>
      <c r="BA17" s="32">
        <v>-78.1507</v>
      </c>
      <c r="BB17" s="32">
        <v>-94.456</v>
      </c>
      <c r="BC17" s="32">
        <v>-61.8453</v>
      </c>
      <c r="BD17" s="32">
        <v>0</v>
      </c>
      <c r="BE17" s="29" t="s">
        <v>163</v>
      </c>
    </row>
    <row r="18" ht="15.75" spans="1:57">
      <c r="A18" s="31">
        <v>8</v>
      </c>
      <c r="B18" s="30" t="s">
        <v>147</v>
      </c>
      <c r="C18" s="30" t="s">
        <v>148</v>
      </c>
      <c r="D18" s="30">
        <v>3.3717</v>
      </c>
      <c r="E18" s="30">
        <v>-3.1824</v>
      </c>
      <c r="F18" s="30">
        <v>9.9257</v>
      </c>
      <c r="G18" s="30">
        <v>0.7747</v>
      </c>
      <c r="H18" s="30"/>
      <c r="N18" s="31">
        <v>8</v>
      </c>
      <c r="O18" s="29" t="s">
        <v>148</v>
      </c>
      <c r="P18" s="29" t="s">
        <v>64</v>
      </c>
      <c r="Q18" s="32">
        <v>-27.7067</v>
      </c>
      <c r="R18" s="32">
        <v>-40.9307</v>
      </c>
      <c r="S18" s="32">
        <v>-14.4826</v>
      </c>
      <c r="T18" s="32">
        <v>0</v>
      </c>
      <c r="U18" s="29" t="s">
        <v>163</v>
      </c>
      <c r="Z18" s="31">
        <v>8</v>
      </c>
      <c r="AA18" s="29" t="s">
        <v>148</v>
      </c>
      <c r="AB18" s="29" t="s">
        <v>64</v>
      </c>
      <c r="AC18" s="32">
        <v>-98.1347</v>
      </c>
      <c r="AD18" s="32">
        <v>-117.3601</v>
      </c>
      <c r="AE18" s="32">
        <v>-78.9092</v>
      </c>
      <c r="AF18" s="32">
        <v>0</v>
      </c>
      <c r="AG18" s="29" t="s">
        <v>163</v>
      </c>
      <c r="AL18" s="31">
        <v>8</v>
      </c>
      <c r="AM18" s="29" t="s">
        <v>148</v>
      </c>
      <c r="AN18" s="29" t="s">
        <v>64</v>
      </c>
      <c r="AO18" s="32">
        <v>-68.106</v>
      </c>
      <c r="AP18" s="32">
        <v>-85.5731</v>
      </c>
      <c r="AQ18" s="32">
        <v>-50.6389</v>
      </c>
      <c r="AR18" s="32">
        <v>0</v>
      </c>
      <c r="AS18" s="29" t="s">
        <v>163</v>
      </c>
      <c r="AX18" s="31">
        <v>9</v>
      </c>
      <c r="AY18" s="29" t="s">
        <v>148</v>
      </c>
      <c r="AZ18" s="29" t="s">
        <v>63</v>
      </c>
      <c r="BA18" s="32">
        <v>-41.4533</v>
      </c>
      <c r="BB18" s="32">
        <v>-57.7587</v>
      </c>
      <c r="BC18" s="32">
        <v>-25.148</v>
      </c>
      <c r="BD18" s="32">
        <v>0</v>
      </c>
      <c r="BE18" s="29" t="s">
        <v>163</v>
      </c>
    </row>
    <row r="19" ht="15.75" spans="1:57">
      <c r="A19" s="31">
        <v>9</v>
      </c>
      <c r="B19" s="30" t="s">
        <v>147</v>
      </c>
      <c r="C19" s="30" t="s">
        <v>64</v>
      </c>
      <c r="D19" s="30">
        <v>-18.342</v>
      </c>
      <c r="E19" s="30">
        <v>-24.896</v>
      </c>
      <c r="F19" s="30">
        <v>-11.788</v>
      </c>
      <c r="G19" s="30">
        <v>0</v>
      </c>
      <c r="H19" s="30" t="s">
        <v>163</v>
      </c>
      <c r="N19" s="31">
        <v>9</v>
      </c>
      <c r="O19" s="29" t="s">
        <v>148</v>
      </c>
      <c r="P19" s="29" t="s">
        <v>63</v>
      </c>
      <c r="Q19" s="32">
        <v>-0.0557</v>
      </c>
      <c r="R19" s="32">
        <v>-13.2797</v>
      </c>
      <c r="S19" s="32">
        <v>13.1684</v>
      </c>
      <c r="T19" s="32">
        <v>1</v>
      </c>
      <c r="U19" s="32"/>
      <c r="Z19" s="31">
        <v>9</v>
      </c>
      <c r="AA19" s="29" t="s">
        <v>148</v>
      </c>
      <c r="AB19" s="29" t="s">
        <v>63</v>
      </c>
      <c r="AC19" s="32">
        <v>-23.4827</v>
      </c>
      <c r="AD19" s="32">
        <v>-42.7081</v>
      </c>
      <c r="AE19" s="32">
        <v>-4.2572</v>
      </c>
      <c r="AF19" s="32">
        <v>0.0053</v>
      </c>
      <c r="AG19" s="29" t="s">
        <v>164</v>
      </c>
      <c r="AL19" s="31">
        <v>9</v>
      </c>
      <c r="AM19" s="29" t="s">
        <v>148</v>
      </c>
      <c r="AN19" s="29" t="s">
        <v>63</v>
      </c>
      <c r="AO19" s="32">
        <v>-21.6617</v>
      </c>
      <c r="AP19" s="32">
        <v>-39.1288</v>
      </c>
      <c r="AQ19" s="32">
        <v>-4.1946</v>
      </c>
      <c r="AR19" s="32">
        <v>0.0042</v>
      </c>
      <c r="AS19" s="29" t="s">
        <v>164</v>
      </c>
      <c r="AX19" s="31">
        <v>10</v>
      </c>
      <c r="AY19" s="29" t="s">
        <v>148</v>
      </c>
      <c r="AZ19" s="29" t="s">
        <v>65</v>
      </c>
      <c r="BA19" s="32">
        <v>9.1673</v>
      </c>
      <c r="BB19" s="32">
        <v>-7.138</v>
      </c>
      <c r="BC19" s="32">
        <v>25.4727</v>
      </c>
      <c r="BD19" s="32">
        <v>0.6847</v>
      </c>
      <c r="BE19" s="32"/>
    </row>
    <row r="20" ht="15.75" spans="1:57">
      <c r="A20" s="31">
        <v>10</v>
      </c>
      <c r="B20" s="30" t="s">
        <v>147</v>
      </c>
      <c r="C20" s="30" t="s">
        <v>63</v>
      </c>
      <c r="D20" s="30">
        <v>-2.3643</v>
      </c>
      <c r="E20" s="30">
        <v>-8.9184</v>
      </c>
      <c r="F20" s="30">
        <v>4.1897</v>
      </c>
      <c r="G20" s="30">
        <v>0.9584</v>
      </c>
      <c r="H20" s="30"/>
      <c r="N20" s="31">
        <v>10</v>
      </c>
      <c r="O20" s="29" t="s">
        <v>148</v>
      </c>
      <c r="P20" s="29" t="s">
        <v>65</v>
      </c>
      <c r="Q20" s="32">
        <v>11.6387</v>
      </c>
      <c r="R20" s="32">
        <v>-1.5854</v>
      </c>
      <c r="S20" s="32">
        <v>24.8627</v>
      </c>
      <c r="T20" s="32">
        <v>0.1326</v>
      </c>
      <c r="U20" s="32"/>
      <c r="Z20" s="31">
        <v>10</v>
      </c>
      <c r="AA20" s="29" t="s">
        <v>148</v>
      </c>
      <c r="AB20" s="29" t="s">
        <v>65</v>
      </c>
      <c r="AC20" s="32">
        <v>10.37</v>
      </c>
      <c r="AD20" s="32">
        <v>-8.8554</v>
      </c>
      <c r="AE20" s="32">
        <v>29.5954</v>
      </c>
      <c r="AF20" s="32">
        <v>0.7291</v>
      </c>
      <c r="AG20" s="32"/>
      <c r="AL20" s="31">
        <v>10</v>
      </c>
      <c r="AM20" s="29" t="s">
        <v>148</v>
      </c>
      <c r="AN20" s="29" t="s">
        <v>65</v>
      </c>
      <c r="AO20" s="32">
        <v>14.5057</v>
      </c>
      <c r="AP20" s="32">
        <v>-2.9614</v>
      </c>
      <c r="AQ20" s="32">
        <v>31.9728</v>
      </c>
      <c r="AR20" s="32">
        <v>0.1881</v>
      </c>
      <c r="AS20" s="32"/>
      <c r="AX20" s="31">
        <v>11</v>
      </c>
      <c r="AY20" s="29" t="s">
        <v>148</v>
      </c>
      <c r="AZ20" s="29" t="s">
        <v>67</v>
      </c>
      <c r="BA20" s="32">
        <v>19.3297</v>
      </c>
      <c r="BB20" s="32">
        <v>3.0243</v>
      </c>
      <c r="BC20" s="32">
        <v>35.635</v>
      </c>
      <c r="BD20" s="32">
        <v>0.0079</v>
      </c>
      <c r="BE20" s="29" t="s">
        <v>164</v>
      </c>
    </row>
    <row r="21" ht="15.75" spans="1:57">
      <c r="A21" s="31">
        <v>11</v>
      </c>
      <c r="B21" s="30" t="s">
        <v>147</v>
      </c>
      <c r="C21" s="30" t="s">
        <v>65</v>
      </c>
      <c r="D21" s="30">
        <v>9.0847</v>
      </c>
      <c r="E21" s="30">
        <v>2.5306</v>
      </c>
      <c r="F21" s="30">
        <v>15.6387</v>
      </c>
      <c r="G21" s="30">
        <v>0.0007</v>
      </c>
      <c r="H21" s="30" t="s">
        <v>163</v>
      </c>
      <c r="N21" s="31">
        <v>11</v>
      </c>
      <c r="O21" s="29" t="s">
        <v>148</v>
      </c>
      <c r="P21" s="29" t="s">
        <v>67</v>
      </c>
      <c r="Q21" s="32">
        <v>16.6787</v>
      </c>
      <c r="R21" s="32">
        <v>3.4546</v>
      </c>
      <c r="S21" s="32">
        <v>29.9027</v>
      </c>
      <c r="T21" s="32">
        <v>0.0033</v>
      </c>
      <c r="U21" s="29" t="s">
        <v>164</v>
      </c>
      <c r="Z21" s="31">
        <v>11</v>
      </c>
      <c r="AA21" s="29" t="s">
        <v>148</v>
      </c>
      <c r="AB21" s="29" t="s">
        <v>67</v>
      </c>
      <c r="AC21" s="32">
        <v>20.3813</v>
      </c>
      <c r="AD21" s="32">
        <v>1.1559</v>
      </c>
      <c r="AE21" s="32">
        <v>39.6068</v>
      </c>
      <c r="AF21" s="32">
        <v>0.0287</v>
      </c>
      <c r="AG21" s="29" t="s">
        <v>165</v>
      </c>
      <c r="AL21" s="31">
        <v>11</v>
      </c>
      <c r="AM21" s="29" t="s">
        <v>148</v>
      </c>
      <c r="AN21" s="29" t="s">
        <v>67</v>
      </c>
      <c r="AO21" s="32">
        <v>31.9737</v>
      </c>
      <c r="AP21" s="32">
        <v>14.5066</v>
      </c>
      <c r="AQ21" s="32">
        <v>49.4408</v>
      </c>
      <c r="AR21" s="32">
        <v>0</v>
      </c>
      <c r="AS21" s="29" t="s">
        <v>163</v>
      </c>
      <c r="AX21" s="31">
        <v>12</v>
      </c>
      <c r="AY21" s="29" t="s">
        <v>148</v>
      </c>
      <c r="AZ21" s="29" t="s">
        <v>66</v>
      </c>
      <c r="BA21" s="32">
        <v>3.4937</v>
      </c>
      <c r="BB21" s="32">
        <v>-12.8117</v>
      </c>
      <c r="BC21" s="32">
        <v>19.799</v>
      </c>
      <c r="BD21" s="32">
        <v>0.9981</v>
      </c>
      <c r="BE21" s="32"/>
    </row>
    <row r="22" ht="15.75" spans="1:57">
      <c r="A22" s="31">
        <v>12</v>
      </c>
      <c r="B22" s="30" t="s">
        <v>147</v>
      </c>
      <c r="C22" s="30" t="s">
        <v>67</v>
      </c>
      <c r="D22" s="30">
        <v>11.2183</v>
      </c>
      <c r="E22" s="30">
        <v>4.6643</v>
      </c>
      <c r="F22" s="30">
        <v>17.7724</v>
      </c>
      <c r="G22" s="30">
        <v>0</v>
      </c>
      <c r="H22" s="30" t="s">
        <v>163</v>
      </c>
      <c r="N22" s="31">
        <v>12</v>
      </c>
      <c r="O22" s="29" t="s">
        <v>148</v>
      </c>
      <c r="P22" s="29" t="s">
        <v>66</v>
      </c>
      <c r="Q22" s="32">
        <v>20.8</v>
      </c>
      <c r="R22" s="32">
        <v>7.5759</v>
      </c>
      <c r="S22" s="32">
        <v>34.0241</v>
      </c>
      <c r="T22" s="32">
        <v>0.0001</v>
      </c>
      <c r="U22" s="29" t="s">
        <v>163</v>
      </c>
      <c r="Z22" s="31">
        <v>12</v>
      </c>
      <c r="AA22" s="29" t="s">
        <v>148</v>
      </c>
      <c r="AB22" s="29" t="s">
        <v>66</v>
      </c>
      <c r="AC22" s="32">
        <v>13.696</v>
      </c>
      <c r="AD22" s="32">
        <v>-5.5294</v>
      </c>
      <c r="AE22" s="32">
        <v>32.9214</v>
      </c>
      <c r="AF22" s="32">
        <v>0.3768</v>
      </c>
      <c r="AG22" s="32"/>
      <c r="AL22" s="31">
        <v>12</v>
      </c>
      <c r="AM22" s="29" t="s">
        <v>148</v>
      </c>
      <c r="AN22" s="29" t="s">
        <v>66</v>
      </c>
      <c r="AO22" s="32">
        <v>22.9073</v>
      </c>
      <c r="AP22" s="32">
        <v>5.4402</v>
      </c>
      <c r="AQ22" s="32">
        <v>40.3744</v>
      </c>
      <c r="AR22" s="32">
        <v>0.0018</v>
      </c>
      <c r="AS22" s="29" t="s">
        <v>164</v>
      </c>
      <c r="AX22" s="31">
        <v>13</v>
      </c>
      <c r="AY22" s="29" t="s">
        <v>148</v>
      </c>
      <c r="AZ22" s="29" t="s">
        <v>68</v>
      </c>
      <c r="BA22" s="32">
        <v>64.5477</v>
      </c>
      <c r="BB22" s="32">
        <v>48.2423</v>
      </c>
      <c r="BC22" s="32">
        <v>80.853</v>
      </c>
      <c r="BD22" s="32">
        <v>0</v>
      </c>
      <c r="BE22" s="29" t="s">
        <v>163</v>
      </c>
    </row>
    <row r="23" ht="15.75" spans="1:57">
      <c r="A23" s="31">
        <v>13</v>
      </c>
      <c r="B23" s="30" t="s">
        <v>147</v>
      </c>
      <c r="C23" s="30" t="s">
        <v>66</v>
      </c>
      <c r="D23" s="30">
        <v>15.658</v>
      </c>
      <c r="E23" s="30">
        <v>9.104</v>
      </c>
      <c r="F23" s="30">
        <v>22.212</v>
      </c>
      <c r="G23" s="30">
        <v>0</v>
      </c>
      <c r="H23" s="30" t="s">
        <v>163</v>
      </c>
      <c r="N23" s="31">
        <v>13</v>
      </c>
      <c r="O23" s="29" t="s">
        <v>148</v>
      </c>
      <c r="P23" s="29" t="s">
        <v>68</v>
      </c>
      <c r="Q23" s="32">
        <v>36.6247</v>
      </c>
      <c r="R23" s="32">
        <v>23.4006</v>
      </c>
      <c r="S23" s="32">
        <v>49.8487</v>
      </c>
      <c r="T23" s="32">
        <v>0</v>
      </c>
      <c r="U23" s="29" t="s">
        <v>163</v>
      </c>
      <c r="Z23" s="31">
        <v>13</v>
      </c>
      <c r="AA23" s="29" t="s">
        <v>148</v>
      </c>
      <c r="AB23" s="29" t="s">
        <v>68</v>
      </c>
      <c r="AC23" s="32">
        <v>33.294</v>
      </c>
      <c r="AD23" s="32">
        <v>14.0686</v>
      </c>
      <c r="AE23" s="32">
        <v>52.5194</v>
      </c>
      <c r="AF23" s="32">
        <v>0</v>
      </c>
      <c r="AG23" s="29" t="s">
        <v>163</v>
      </c>
      <c r="AL23" s="31">
        <v>13</v>
      </c>
      <c r="AM23" s="29" t="s">
        <v>148</v>
      </c>
      <c r="AN23" s="29" t="s">
        <v>68</v>
      </c>
      <c r="AO23" s="32">
        <v>65.03</v>
      </c>
      <c r="AP23" s="32">
        <v>47.5629</v>
      </c>
      <c r="AQ23" s="32">
        <v>82.4971</v>
      </c>
      <c r="AR23" s="32">
        <v>0</v>
      </c>
      <c r="AS23" s="29" t="s">
        <v>163</v>
      </c>
      <c r="AX23" s="31">
        <v>14</v>
      </c>
      <c r="AY23" s="29" t="s">
        <v>64</v>
      </c>
      <c r="AZ23" s="29" t="s">
        <v>63</v>
      </c>
      <c r="BA23" s="32">
        <v>36.6973</v>
      </c>
      <c r="BB23" s="32">
        <v>20.392</v>
      </c>
      <c r="BC23" s="32">
        <v>53.0027</v>
      </c>
      <c r="BD23" s="32">
        <v>0</v>
      </c>
      <c r="BE23" s="29" t="s">
        <v>163</v>
      </c>
    </row>
    <row r="24" ht="15.75" spans="1:57">
      <c r="A24" s="31">
        <v>14</v>
      </c>
      <c r="B24" s="30" t="s">
        <v>148</v>
      </c>
      <c r="C24" s="30" t="s">
        <v>64</v>
      </c>
      <c r="D24" s="30">
        <v>-21.7137</v>
      </c>
      <c r="E24" s="30">
        <v>-28.2677</v>
      </c>
      <c r="F24" s="30">
        <v>-15.1596</v>
      </c>
      <c r="G24" s="30">
        <v>0</v>
      </c>
      <c r="H24" s="30" t="s">
        <v>163</v>
      </c>
      <c r="N24" s="31">
        <v>14</v>
      </c>
      <c r="O24" s="29" t="s">
        <v>64</v>
      </c>
      <c r="P24" s="29" t="s">
        <v>63</v>
      </c>
      <c r="Q24" s="32">
        <v>27.651</v>
      </c>
      <c r="R24" s="32">
        <v>14.4269</v>
      </c>
      <c r="S24" s="32">
        <v>40.8751</v>
      </c>
      <c r="T24" s="32">
        <v>0</v>
      </c>
      <c r="U24" s="29" t="s">
        <v>163</v>
      </c>
      <c r="Z24" s="31">
        <v>14</v>
      </c>
      <c r="AA24" s="29" t="s">
        <v>64</v>
      </c>
      <c r="AB24" s="29" t="s">
        <v>63</v>
      </c>
      <c r="AC24" s="32">
        <v>74.652</v>
      </c>
      <c r="AD24" s="32">
        <v>55.4266</v>
      </c>
      <c r="AE24" s="32">
        <v>93.8774</v>
      </c>
      <c r="AF24" s="32">
        <v>0</v>
      </c>
      <c r="AG24" s="29" t="s">
        <v>163</v>
      </c>
      <c r="AL24" s="31">
        <v>14</v>
      </c>
      <c r="AM24" s="29" t="s">
        <v>64</v>
      </c>
      <c r="AN24" s="29" t="s">
        <v>63</v>
      </c>
      <c r="AO24" s="32">
        <v>46.4443</v>
      </c>
      <c r="AP24" s="32">
        <v>28.9772</v>
      </c>
      <c r="AQ24" s="32">
        <v>63.9114</v>
      </c>
      <c r="AR24" s="32">
        <v>0</v>
      </c>
      <c r="AS24" s="29" t="s">
        <v>163</v>
      </c>
      <c r="AX24" s="31">
        <v>15</v>
      </c>
      <c r="AY24" s="29" t="s">
        <v>64</v>
      </c>
      <c r="AZ24" s="29" t="s">
        <v>65</v>
      </c>
      <c r="BA24" s="32">
        <v>87.318</v>
      </c>
      <c r="BB24" s="32">
        <v>71.0126</v>
      </c>
      <c r="BC24" s="32">
        <v>103.6234</v>
      </c>
      <c r="BD24" s="32">
        <v>0</v>
      </c>
      <c r="BE24" s="29" t="s">
        <v>163</v>
      </c>
    </row>
    <row r="25" ht="15.75" spans="1:57">
      <c r="A25" s="31">
        <v>15</v>
      </c>
      <c r="B25" s="30" t="s">
        <v>148</v>
      </c>
      <c r="C25" s="30" t="s">
        <v>63</v>
      </c>
      <c r="D25" s="30">
        <v>-5.736</v>
      </c>
      <c r="E25" s="30">
        <v>-12.29</v>
      </c>
      <c r="F25" s="30">
        <v>0.818</v>
      </c>
      <c r="G25" s="30">
        <v>0.1375</v>
      </c>
      <c r="H25" s="30"/>
      <c r="N25" s="31">
        <v>15</v>
      </c>
      <c r="O25" s="29" t="s">
        <v>64</v>
      </c>
      <c r="P25" s="29" t="s">
        <v>65</v>
      </c>
      <c r="Q25" s="32">
        <v>39.3453</v>
      </c>
      <c r="R25" s="32">
        <v>26.1213</v>
      </c>
      <c r="S25" s="32">
        <v>52.5694</v>
      </c>
      <c r="T25" s="32">
        <v>0</v>
      </c>
      <c r="U25" s="29" t="s">
        <v>163</v>
      </c>
      <c r="Z25" s="31">
        <v>15</v>
      </c>
      <c r="AA25" s="29" t="s">
        <v>64</v>
      </c>
      <c r="AB25" s="29" t="s">
        <v>65</v>
      </c>
      <c r="AC25" s="32">
        <v>108.5047</v>
      </c>
      <c r="AD25" s="32">
        <v>89.2792</v>
      </c>
      <c r="AE25" s="32">
        <v>127.7301</v>
      </c>
      <c r="AF25" s="32">
        <v>0</v>
      </c>
      <c r="AG25" s="29" t="s">
        <v>163</v>
      </c>
      <c r="AL25" s="31">
        <v>15</v>
      </c>
      <c r="AM25" s="29" t="s">
        <v>64</v>
      </c>
      <c r="AN25" s="29" t="s">
        <v>65</v>
      </c>
      <c r="AO25" s="32">
        <v>82.6117</v>
      </c>
      <c r="AP25" s="32">
        <v>65.1446</v>
      </c>
      <c r="AQ25" s="32">
        <v>100.0788</v>
      </c>
      <c r="AR25" s="32">
        <v>0</v>
      </c>
      <c r="AS25" s="29" t="s">
        <v>163</v>
      </c>
      <c r="AX25" s="31">
        <v>16</v>
      </c>
      <c r="AY25" s="29" t="s">
        <v>64</v>
      </c>
      <c r="AZ25" s="29" t="s">
        <v>67</v>
      </c>
      <c r="BA25" s="32">
        <v>97.4803</v>
      </c>
      <c r="BB25" s="32">
        <v>81.175</v>
      </c>
      <c r="BC25" s="32">
        <v>113.7857</v>
      </c>
      <c r="BD25" s="32">
        <v>0</v>
      </c>
      <c r="BE25" s="29" t="s">
        <v>163</v>
      </c>
    </row>
    <row r="26" ht="15.75" spans="1:57">
      <c r="A26" s="31">
        <v>16</v>
      </c>
      <c r="B26" s="30" t="s">
        <v>148</v>
      </c>
      <c r="C26" s="30" t="s">
        <v>65</v>
      </c>
      <c r="D26" s="30">
        <v>5.713</v>
      </c>
      <c r="E26" s="30">
        <v>-0.841</v>
      </c>
      <c r="F26" s="30">
        <v>12.267</v>
      </c>
      <c r="G26" s="30">
        <v>0.141</v>
      </c>
      <c r="H26" s="30"/>
      <c r="N26" s="31">
        <v>16</v>
      </c>
      <c r="O26" s="29" t="s">
        <v>64</v>
      </c>
      <c r="P26" s="29" t="s">
        <v>67</v>
      </c>
      <c r="Q26" s="32">
        <v>44.3853</v>
      </c>
      <c r="R26" s="32">
        <v>31.1613</v>
      </c>
      <c r="S26" s="32">
        <v>57.6094</v>
      </c>
      <c r="T26" s="32">
        <v>0</v>
      </c>
      <c r="U26" s="29" t="s">
        <v>163</v>
      </c>
      <c r="Z26" s="31">
        <v>16</v>
      </c>
      <c r="AA26" s="29" t="s">
        <v>64</v>
      </c>
      <c r="AB26" s="29" t="s">
        <v>67</v>
      </c>
      <c r="AC26" s="32">
        <v>118.516</v>
      </c>
      <c r="AD26" s="32">
        <v>99.2906</v>
      </c>
      <c r="AE26" s="32">
        <v>137.7414</v>
      </c>
      <c r="AF26" s="32">
        <v>0</v>
      </c>
      <c r="AG26" s="29" t="s">
        <v>163</v>
      </c>
      <c r="AL26" s="31">
        <v>16</v>
      </c>
      <c r="AM26" s="29" t="s">
        <v>64</v>
      </c>
      <c r="AN26" s="29" t="s">
        <v>67</v>
      </c>
      <c r="AO26" s="32">
        <v>100.0797</v>
      </c>
      <c r="AP26" s="32">
        <v>82.6126</v>
      </c>
      <c r="AQ26" s="32">
        <v>117.5468</v>
      </c>
      <c r="AR26" s="32">
        <v>0</v>
      </c>
      <c r="AS26" s="29" t="s">
        <v>163</v>
      </c>
      <c r="AX26" s="31">
        <v>17</v>
      </c>
      <c r="AY26" s="29" t="s">
        <v>64</v>
      </c>
      <c r="AZ26" s="29" t="s">
        <v>66</v>
      </c>
      <c r="BA26" s="32">
        <v>81.6443</v>
      </c>
      <c r="BB26" s="32">
        <v>65.339</v>
      </c>
      <c r="BC26" s="32">
        <v>97.9497</v>
      </c>
      <c r="BD26" s="32">
        <v>0</v>
      </c>
      <c r="BE26" s="29" t="s">
        <v>163</v>
      </c>
    </row>
    <row r="27" ht="15.75" spans="1:57">
      <c r="A27" s="31">
        <v>17</v>
      </c>
      <c r="B27" s="30" t="s">
        <v>148</v>
      </c>
      <c r="C27" s="30" t="s">
        <v>67</v>
      </c>
      <c r="D27" s="30">
        <v>7.8467</v>
      </c>
      <c r="E27" s="30">
        <v>1.2926</v>
      </c>
      <c r="F27" s="30">
        <v>14.4007</v>
      </c>
      <c r="G27" s="30">
        <v>0.0069</v>
      </c>
      <c r="H27" s="30" t="s">
        <v>164</v>
      </c>
      <c r="N27" s="31">
        <v>17</v>
      </c>
      <c r="O27" s="29" t="s">
        <v>64</v>
      </c>
      <c r="P27" s="29" t="s">
        <v>66</v>
      </c>
      <c r="Q27" s="32">
        <v>48.5067</v>
      </c>
      <c r="R27" s="32">
        <v>35.2826</v>
      </c>
      <c r="S27" s="32">
        <v>61.7307</v>
      </c>
      <c r="T27" s="32">
        <v>0</v>
      </c>
      <c r="U27" s="29" t="s">
        <v>163</v>
      </c>
      <c r="Z27" s="31">
        <v>17</v>
      </c>
      <c r="AA27" s="29" t="s">
        <v>64</v>
      </c>
      <c r="AB27" s="29" t="s">
        <v>66</v>
      </c>
      <c r="AC27" s="32">
        <v>111.8307</v>
      </c>
      <c r="AD27" s="32">
        <v>92.6052</v>
      </c>
      <c r="AE27" s="32">
        <v>131.0561</v>
      </c>
      <c r="AF27" s="32">
        <v>0</v>
      </c>
      <c r="AG27" s="29" t="s">
        <v>163</v>
      </c>
      <c r="AL27" s="31">
        <v>17</v>
      </c>
      <c r="AM27" s="29" t="s">
        <v>64</v>
      </c>
      <c r="AN27" s="29" t="s">
        <v>66</v>
      </c>
      <c r="AO27" s="32">
        <v>91.0133</v>
      </c>
      <c r="AP27" s="32">
        <v>73.5462</v>
      </c>
      <c r="AQ27" s="32">
        <v>108.4804</v>
      </c>
      <c r="AR27" s="32">
        <v>0</v>
      </c>
      <c r="AS27" s="29" t="s">
        <v>163</v>
      </c>
      <c r="AX27" s="31">
        <v>18</v>
      </c>
      <c r="AY27" s="29" t="s">
        <v>64</v>
      </c>
      <c r="AZ27" s="29" t="s">
        <v>68</v>
      </c>
      <c r="BA27" s="32">
        <v>142.6983</v>
      </c>
      <c r="BB27" s="32">
        <v>126.393</v>
      </c>
      <c r="BC27" s="32">
        <v>159.0037</v>
      </c>
      <c r="BD27" s="32">
        <v>0</v>
      </c>
      <c r="BE27" s="29" t="s">
        <v>163</v>
      </c>
    </row>
    <row r="28" ht="15.75" spans="1:57">
      <c r="A28" s="31">
        <v>18</v>
      </c>
      <c r="B28" s="30" t="s">
        <v>148</v>
      </c>
      <c r="C28" s="30" t="s">
        <v>66</v>
      </c>
      <c r="D28" s="30">
        <v>12.2863</v>
      </c>
      <c r="E28" s="30">
        <v>5.7323</v>
      </c>
      <c r="F28" s="30">
        <v>18.8404</v>
      </c>
      <c r="G28" s="30">
        <v>0</v>
      </c>
      <c r="H28" s="30" t="s">
        <v>163</v>
      </c>
      <c r="N28" s="31">
        <v>18</v>
      </c>
      <c r="O28" s="29" t="s">
        <v>64</v>
      </c>
      <c r="P28" s="29" t="s">
        <v>68</v>
      </c>
      <c r="Q28" s="32">
        <v>64.3313</v>
      </c>
      <c r="R28" s="32">
        <v>51.1073</v>
      </c>
      <c r="S28" s="32">
        <v>77.5554</v>
      </c>
      <c r="T28" s="32">
        <v>0</v>
      </c>
      <c r="U28" s="29" t="s">
        <v>163</v>
      </c>
      <c r="Z28" s="31">
        <v>18</v>
      </c>
      <c r="AA28" s="29" t="s">
        <v>64</v>
      </c>
      <c r="AB28" s="29" t="s">
        <v>68</v>
      </c>
      <c r="AC28" s="32">
        <v>131.4287</v>
      </c>
      <c r="AD28" s="32">
        <v>112.2032</v>
      </c>
      <c r="AE28" s="32">
        <v>150.6541</v>
      </c>
      <c r="AF28" s="32">
        <v>0</v>
      </c>
      <c r="AG28" s="29" t="s">
        <v>163</v>
      </c>
      <c r="AL28" s="31">
        <v>18</v>
      </c>
      <c r="AM28" s="29" t="s">
        <v>64</v>
      </c>
      <c r="AN28" s="29" t="s">
        <v>68</v>
      </c>
      <c r="AO28" s="32">
        <v>133.136</v>
      </c>
      <c r="AP28" s="32">
        <v>115.6689</v>
      </c>
      <c r="AQ28" s="32">
        <v>150.6031</v>
      </c>
      <c r="AR28" s="32">
        <v>0</v>
      </c>
      <c r="AS28" s="29" t="s">
        <v>163</v>
      </c>
      <c r="AX28" s="31">
        <v>19</v>
      </c>
      <c r="AY28" s="29" t="s">
        <v>63</v>
      </c>
      <c r="AZ28" s="29" t="s">
        <v>65</v>
      </c>
      <c r="BA28" s="32">
        <v>50.6207</v>
      </c>
      <c r="BB28" s="32">
        <v>34.3153</v>
      </c>
      <c r="BC28" s="32">
        <v>66.926</v>
      </c>
      <c r="BD28" s="32">
        <v>0</v>
      </c>
      <c r="BE28" s="29" t="s">
        <v>163</v>
      </c>
    </row>
    <row r="29" ht="15.75" spans="1:57">
      <c r="A29" s="31">
        <v>19</v>
      </c>
      <c r="B29" s="30" t="s">
        <v>64</v>
      </c>
      <c r="C29" s="30" t="s">
        <v>63</v>
      </c>
      <c r="D29" s="30">
        <v>15.9777</v>
      </c>
      <c r="E29" s="30">
        <v>9.4236</v>
      </c>
      <c r="F29" s="30">
        <v>22.5317</v>
      </c>
      <c r="G29" s="30">
        <v>0</v>
      </c>
      <c r="H29" s="30" t="s">
        <v>163</v>
      </c>
      <c r="N29" s="31">
        <v>19</v>
      </c>
      <c r="O29" s="29" t="s">
        <v>63</v>
      </c>
      <c r="P29" s="29" t="s">
        <v>65</v>
      </c>
      <c r="Q29" s="32">
        <v>11.6943</v>
      </c>
      <c r="R29" s="32">
        <v>-1.5297</v>
      </c>
      <c r="S29" s="32">
        <v>24.9184</v>
      </c>
      <c r="T29" s="32">
        <v>0.1285</v>
      </c>
      <c r="U29" s="32"/>
      <c r="Z29" s="31">
        <v>19</v>
      </c>
      <c r="AA29" s="29" t="s">
        <v>63</v>
      </c>
      <c r="AB29" s="29" t="s">
        <v>65</v>
      </c>
      <c r="AC29" s="32">
        <v>33.8527</v>
      </c>
      <c r="AD29" s="32">
        <v>14.6272</v>
      </c>
      <c r="AE29" s="32">
        <v>53.0781</v>
      </c>
      <c r="AF29" s="32">
        <v>0</v>
      </c>
      <c r="AG29" s="29" t="s">
        <v>163</v>
      </c>
      <c r="AL29" s="31">
        <v>19</v>
      </c>
      <c r="AM29" s="29" t="s">
        <v>63</v>
      </c>
      <c r="AN29" s="29" t="s">
        <v>65</v>
      </c>
      <c r="AO29" s="32">
        <v>36.1673</v>
      </c>
      <c r="AP29" s="32">
        <v>18.7002</v>
      </c>
      <c r="AQ29" s="32">
        <v>53.6344</v>
      </c>
      <c r="AR29" s="32">
        <v>0</v>
      </c>
      <c r="AS29" s="29" t="s">
        <v>163</v>
      </c>
      <c r="AX29" s="31">
        <v>20</v>
      </c>
      <c r="AY29" s="29" t="s">
        <v>63</v>
      </c>
      <c r="AZ29" s="29" t="s">
        <v>67</v>
      </c>
      <c r="BA29" s="32">
        <v>60.783</v>
      </c>
      <c r="BB29" s="32">
        <v>44.4776</v>
      </c>
      <c r="BC29" s="32">
        <v>77.0884</v>
      </c>
      <c r="BD29" s="32">
        <v>0</v>
      </c>
      <c r="BE29" s="29" t="s">
        <v>163</v>
      </c>
    </row>
    <row r="30" ht="15.75" spans="1:57">
      <c r="A30" s="31">
        <v>20</v>
      </c>
      <c r="B30" s="30" t="s">
        <v>64</v>
      </c>
      <c r="C30" s="30" t="s">
        <v>65</v>
      </c>
      <c r="D30" s="30">
        <v>27.4267</v>
      </c>
      <c r="E30" s="30">
        <v>20.8726</v>
      </c>
      <c r="F30" s="30">
        <v>33.9807</v>
      </c>
      <c r="G30" s="30">
        <v>0</v>
      </c>
      <c r="H30" s="30" t="s">
        <v>163</v>
      </c>
      <c r="N30" s="31">
        <v>20</v>
      </c>
      <c r="O30" s="29" t="s">
        <v>63</v>
      </c>
      <c r="P30" s="29" t="s">
        <v>67</v>
      </c>
      <c r="Q30" s="32">
        <v>16.7343</v>
      </c>
      <c r="R30" s="32">
        <v>3.5103</v>
      </c>
      <c r="S30" s="32">
        <v>29.9584</v>
      </c>
      <c r="T30" s="32">
        <v>0.0032</v>
      </c>
      <c r="U30" s="29" t="s">
        <v>164</v>
      </c>
      <c r="Z30" s="31">
        <v>20</v>
      </c>
      <c r="AA30" s="29" t="s">
        <v>63</v>
      </c>
      <c r="AB30" s="29" t="s">
        <v>67</v>
      </c>
      <c r="AC30" s="32">
        <v>43.864</v>
      </c>
      <c r="AD30" s="32">
        <v>24.6386</v>
      </c>
      <c r="AE30" s="32">
        <v>63.0894</v>
      </c>
      <c r="AF30" s="32">
        <v>0</v>
      </c>
      <c r="AG30" s="29" t="s">
        <v>163</v>
      </c>
      <c r="AL30" s="31">
        <v>20</v>
      </c>
      <c r="AM30" s="29" t="s">
        <v>63</v>
      </c>
      <c r="AN30" s="29" t="s">
        <v>67</v>
      </c>
      <c r="AO30" s="32">
        <v>53.6353</v>
      </c>
      <c r="AP30" s="32">
        <v>36.1682</v>
      </c>
      <c r="AQ30" s="32">
        <v>71.1024</v>
      </c>
      <c r="AR30" s="32">
        <v>0</v>
      </c>
      <c r="AS30" s="29" t="s">
        <v>163</v>
      </c>
      <c r="AX30" s="31">
        <v>21</v>
      </c>
      <c r="AY30" s="29" t="s">
        <v>63</v>
      </c>
      <c r="AZ30" s="29" t="s">
        <v>66</v>
      </c>
      <c r="BA30" s="32">
        <v>44.947</v>
      </c>
      <c r="BB30" s="32">
        <v>28.6416</v>
      </c>
      <c r="BC30" s="32">
        <v>61.2524</v>
      </c>
      <c r="BD30" s="32">
        <v>0</v>
      </c>
      <c r="BE30" s="29" t="s">
        <v>163</v>
      </c>
    </row>
    <row r="31" ht="15.75" spans="1:57">
      <c r="A31" s="31">
        <v>21</v>
      </c>
      <c r="B31" s="30" t="s">
        <v>64</v>
      </c>
      <c r="C31" s="30" t="s">
        <v>67</v>
      </c>
      <c r="D31" s="30">
        <v>29.5603</v>
      </c>
      <c r="E31" s="30">
        <v>23.0063</v>
      </c>
      <c r="F31" s="30">
        <v>36.1144</v>
      </c>
      <c r="G31" s="30">
        <v>0</v>
      </c>
      <c r="H31" s="30" t="s">
        <v>163</v>
      </c>
      <c r="N31" s="31">
        <v>21</v>
      </c>
      <c r="O31" s="29" t="s">
        <v>63</v>
      </c>
      <c r="P31" s="29" t="s">
        <v>66</v>
      </c>
      <c r="Q31" s="32">
        <v>20.8557</v>
      </c>
      <c r="R31" s="32">
        <v>7.6316</v>
      </c>
      <c r="S31" s="32">
        <v>34.0797</v>
      </c>
      <c r="T31" s="32">
        <v>0</v>
      </c>
      <c r="U31" s="29" t="s">
        <v>163</v>
      </c>
      <c r="Z31" s="31">
        <v>21</v>
      </c>
      <c r="AA31" s="29" t="s">
        <v>63</v>
      </c>
      <c r="AB31" s="29" t="s">
        <v>66</v>
      </c>
      <c r="AC31" s="32">
        <v>37.1787</v>
      </c>
      <c r="AD31" s="32">
        <v>17.9532</v>
      </c>
      <c r="AE31" s="32">
        <v>56.4041</v>
      </c>
      <c r="AF31" s="32">
        <v>0</v>
      </c>
      <c r="AG31" s="29" t="s">
        <v>163</v>
      </c>
      <c r="AL31" s="31">
        <v>21</v>
      </c>
      <c r="AM31" s="29" t="s">
        <v>63</v>
      </c>
      <c r="AN31" s="29" t="s">
        <v>66</v>
      </c>
      <c r="AO31" s="32">
        <v>44.569</v>
      </c>
      <c r="AP31" s="32">
        <v>27.1019</v>
      </c>
      <c r="AQ31" s="32">
        <v>62.0361</v>
      </c>
      <c r="AR31" s="32">
        <v>0</v>
      </c>
      <c r="AS31" s="29" t="s">
        <v>163</v>
      </c>
      <c r="AX31" s="31">
        <v>22</v>
      </c>
      <c r="AY31" s="29" t="s">
        <v>63</v>
      </c>
      <c r="AZ31" s="29" t="s">
        <v>68</v>
      </c>
      <c r="BA31" s="32">
        <v>106.001</v>
      </c>
      <c r="BB31" s="32">
        <v>89.6956</v>
      </c>
      <c r="BC31" s="32">
        <v>122.3064</v>
      </c>
      <c r="BD31" s="32">
        <v>0</v>
      </c>
      <c r="BE31" s="29" t="s">
        <v>163</v>
      </c>
    </row>
    <row r="32" ht="15.75" spans="1:57">
      <c r="A32" s="31">
        <v>22</v>
      </c>
      <c r="B32" s="30" t="s">
        <v>64</v>
      </c>
      <c r="C32" s="30" t="s">
        <v>66</v>
      </c>
      <c r="D32" s="30">
        <v>34</v>
      </c>
      <c r="E32" s="30">
        <v>27.446</v>
      </c>
      <c r="F32" s="30">
        <v>40.554</v>
      </c>
      <c r="G32" s="30">
        <v>0</v>
      </c>
      <c r="H32" s="30" t="s">
        <v>163</v>
      </c>
      <c r="N32" s="31">
        <v>22</v>
      </c>
      <c r="O32" s="29" t="s">
        <v>63</v>
      </c>
      <c r="P32" s="29" t="s">
        <v>68</v>
      </c>
      <c r="Q32" s="32">
        <v>36.6803</v>
      </c>
      <c r="R32" s="32">
        <v>23.4563</v>
      </c>
      <c r="S32" s="32">
        <v>49.9044</v>
      </c>
      <c r="T32" s="32">
        <v>0</v>
      </c>
      <c r="U32" s="29" t="s">
        <v>163</v>
      </c>
      <c r="Z32" s="31">
        <v>22</v>
      </c>
      <c r="AA32" s="29" t="s">
        <v>63</v>
      </c>
      <c r="AB32" s="29" t="s">
        <v>68</v>
      </c>
      <c r="AC32" s="32">
        <v>56.7767</v>
      </c>
      <c r="AD32" s="32">
        <v>37.5512</v>
      </c>
      <c r="AE32" s="32">
        <v>76.0021</v>
      </c>
      <c r="AF32" s="32">
        <v>0</v>
      </c>
      <c r="AG32" s="29" t="s">
        <v>163</v>
      </c>
      <c r="AL32" s="31">
        <v>22</v>
      </c>
      <c r="AM32" s="29" t="s">
        <v>63</v>
      </c>
      <c r="AN32" s="29" t="s">
        <v>68</v>
      </c>
      <c r="AO32" s="32">
        <v>86.6917</v>
      </c>
      <c r="AP32" s="32">
        <v>69.2246</v>
      </c>
      <c r="AQ32" s="32">
        <v>104.1588</v>
      </c>
      <c r="AR32" s="32">
        <v>0</v>
      </c>
      <c r="AS32" s="29" t="s">
        <v>163</v>
      </c>
      <c r="AX32" s="31">
        <v>23</v>
      </c>
      <c r="AY32" s="29" t="s">
        <v>65</v>
      </c>
      <c r="AZ32" s="29" t="s">
        <v>67</v>
      </c>
      <c r="BA32" s="32">
        <v>10.1623</v>
      </c>
      <c r="BB32" s="32">
        <v>-6.143</v>
      </c>
      <c r="BC32" s="32">
        <v>26.4677</v>
      </c>
      <c r="BD32" s="32">
        <v>0.5585</v>
      </c>
      <c r="BE32" s="32"/>
    </row>
    <row r="33" ht="15.75" spans="1:57">
      <c r="A33" s="31">
        <v>23</v>
      </c>
      <c r="B33" s="30" t="s">
        <v>63</v>
      </c>
      <c r="C33" s="30" t="s">
        <v>65</v>
      </c>
      <c r="D33" s="30">
        <v>11.449</v>
      </c>
      <c r="E33" s="30">
        <v>4.895</v>
      </c>
      <c r="F33" s="30">
        <v>18.003</v>
      </c>
      <c r="G33" s="30">
        <v>0</v>
      </c>
      <c r="H33" s="30" t="s">
        <v>163</v>
      </c>
      <c r="N33" s="31">
        <v>23</v>
      </c>
      <c r="O33" s="29" t="s">
        <v>65</v>
      </c>
      <c r="P33" s="29" t="s">
        <v>67</v>
      </c>
      <c r="Q33" s="32">
        <v>5.04</v>
      </c>
      <c r="R33" s="32">
        <v>-8.1841</v>
      </c>
      <c r="S33" s="32">
        <v>18.2641</v>
      </c>
      <c r="T33" s="32">
        <v>0.9443</v>
      </c>
      <c r="U33" s="32"/>
      <c r="Z33" s="31">
        <v>23</v>
      </c>
      <c r="AA33" s="29" t="s">
        <v>65</v>
      </c>
      <c r="AB33" s="29" t="s">
        <v>67</v>
      </c>
      <c r="AC33" s="32">
        <v>10.0113</v>
      </c>
      <c r="AD33" s="32">
        <v>-9.2141</v>
      </c>
      <c r="AE33" s="32">
        <v>29.2368</v>
      </c>
      <c r="AF33" s="32">
        <v>0.7636</v>
      </c>
      <c r="AG33" s="32"/>
      <c r="AL33" s="31">
        <v>23</v>
      </c>
      <c r="AM33" s="29" t="s">
        <v>65</v>
      </c>
      <c r="AN33" s="29" t="s">
        <v>67</v>
      </c>
      <c r="AO33" s="32">
        <v>17.468</v>
      </c>
      <c r="AP33" s="32">
        <v>0.0009</v>
      </c>
      <c r="AQ33" s="32">
        <v>34.9351</v>
      </c>
      <c r="AR33" s="32">
        <v>0.05</v>
      </c>
      <c r="AS33" s="29" t="s">
        <v>165</v>
      </c>
      <c r="AX33" s="31">
        <v>24</v>
      </c>
      <c r="AY33" s="29" t="s">
        <v>65</v>
      </c>
      <c r="AZ33" s="29" t="s">
        <v>66</v>
      </c>
      <c r="BA33" s="32">
        <v>-5.6737</v>
      </c>
      <c r="BB33" s="32">
        <v>-21.979</v>
      </c>
      <c r="BC33" s="32">
        <v>10.6317</v>
      </c>
      <c r="BD33" s="32">
        <v>0.9658</v>
      </c>
      <c r="BE33" s="32"/>
    </row>
    <row r="34" ht="15.75" spans="1:57">
      <c r="A34" s="31">
        <v>24</v>
      </c>
      <c r="B34" s="30" t="s">
        <v>63</v>
      </c>
      <c r="C34" s="30" t="s">
        <v>67</v>
      </c>
      <c r="D34" s="30">
        <v>13.5827</v>
      </c>
      <c r="E34" s="30">
        <v>7.0286</v>
      </c>
      <c r="F34" s="30">
        <v>20.1367</v>
      </c>
      <c r="G34" s="30">
        <v>0</v>
      </c>
      <c r="H34" s="30" t="s">
        <v>163</v>
      </c>
      <c r="N34" s="31">
        <v>24</v>
      </c>
      <c r="O34" s="29" t="s">
        <v>65</v>
      </c>
      <c r="P34" s="29" t="s">
        <v>66</v>
      </c>
      <c r="Q34" s="32">
        <v>9.1613</v>
      </c>
      <c r="R34" s="32">
        <v>-4.0627</v>
      </c>
      <c r="S34" s="32">
        <v>22.3854</v>
      </c>
      <c r="T34" s="32">
        <v>0.415</v>
      </c>
      <c r="U34" s="32"/>
      <c r="Z34" s="31">
        <v>24</v>
      </c>
      <c r="AA34" s="29" t="s">
        <v>65</v>
      </c>
      <c r="AB34" s="29" t="s">
        <v>66</v>
      </c>
      <c r="AC34" s="32">
        <v>3.326</v>
      </c>
      <c r="AD34" s="32">
        <v>-15.8994</v>
      </c>
      <c r="AE34" s="32">
        <v>22.5514</v>
      </c>
      <c r="AF34" s="32">
        <v>0.9995</v>
      </c>
      <c r="AG34" s="32"/>
      <c r="AL34" s="31">
        <v>24</v>
      </c>
      <c r="AM34" s="29" t="s">
        <v>65</v>
      </c>
      <c r="AN34" s="29" t="s">
        <v>66</v>
      </c>
      <c r="AO34" s="32">
        <v>8.4017</v>
      </c>
      <c r="AP34" s="32">
        <v>-9.0654</v>
      </c>
      <c r="AQ34" s="32">
        <v>25.8688</v>
      </c>
      <c r="AR34" s="32">
        <v>0.8298</v>
      </c>
      <c r="AS34" s="32"/>
      <c r="AX34" s="31">
        <v>25</v>
      </c>
      <c r="AY34" s="29" t="s">
        <v>65</v>
      </c>
      <c r="AZ34" s="29" t="s">
        <v>68</v>
      </c>
      <c r="BA34" s="32">
        <v>55.3803</v>
      </c>
      <c r="BB34" s="32">
        <v>39.075</v>
      </c>
      <c r="BC34" s="32">
        <v>71.6857</v>
      </c>
      <c r="BD34" s="32">
        <v>0</v>
      </c>
      <c r="BE34" s="29" t="s">
        <v>163</v>
      </c>
    </row>
    <row r="35" ht="15.75" spans="1:57">
      <c r="A35" s="31">
        <v>25</v>
      </c>
      <c r="B35" s="30" t="s">
        <v>63</v>
      </c>
      <c r="C35" s="30" t="s">
        <v>66</v>
      </c>
      <c r="D35" s="30">
        <v>18.0223</v>
      </c>
      <c r="E35" s="30">
        <v>11.4683</v>
      </c>
      <c r="F35" s="30">
        <v>24.5764</v>
      </c>
      <c r="G35" s="30">
        <v>0</v>
      </c>
      <c r="H35" s="30" t="s">
        <v>163</v>
      </c>
      <c r="N35" s="31">
        <v>25</v>
      </c>
      <c r="O35" s="29" t="s">
        <v>65</v>
      </c>
      <c r="P35" s="29" t="s">
        <v>68</v>
      </c>
      <c r="Q35" s="32">
        <v>24.986</v>
      </c>
      <c r="R35" s="32">
        <v>11.7619</v>
      </c>
      <c r="S35" s="32">
        <v>38.2101</v>
      </c>
      <c r="T35" s="32">
        <v>0</v>
      </c>
      <c r="U35" s="29" t="s">
        <v>163</v>
      </c>
      <c r="Z35" s="31">
        <v>25</v>
      </c>
      <c r="AA35" s="29" t="s">
        <v>65</v>
      </c>
      <c r="AB35" s="29" t="s">
        <v>68</v>
      </c>
      <c r="AC35" s="32">
        <v>22.924</v>
      </c>
      <c r="AD35" s="32">
        <v>3.6986</v>
      </c>
      <c r="AE35" s="32">
        <v>42.1494</v>
      </c>
      <c r="AF35" s="32">
        <v>0.0073</v>
      </c>
      <c r="AG35" s="29" t="s">
        <v>164</v>
      </c>
      <c r="AL35" s="31">
        <v>25</v>
      </c>
      <c r="AM35" s="29" t="s">
        <v>65</v>
      </c>
      <c r="AN35" s="29" t="s">
        <v>68</v>
      </c>
      <c r="AO35" s="32">
        <v>50.5243</v>
      </c>
      <c r="AP35" s="32">
        <v>33.0572</v>
      </c>
      <c r="AQ35" s="32">
        <v>67.9914</v>
      </c>
      <c r="AR35" s="32">
        <v>0</v>
      </c>
      <c r="AS35" s="29" t="s">
        <v>163</v>
      </c>
      <c r="AX35" s="31">
        <v>26</v>
      </c>
      <c r="AY35" s="29" t="s">
        <v>67</v>
      </c>
      <c r="AZ35" s="29" t="s">
        <v>66</v>
      </c>
      <c r="BA35" s="32">
        <v>-15.836</v>
      </c>
      <c r="BB35" s="32">
        <v>-32.1414</v>
      </c>
      <c r="BC35" s="32">
        <v>0.4694</v>
      </c>
      <c r="BD35" s="32">
        <v>0.0642</v>
      </c>
      <c r="BE35" s="32"/>
    </row>
    <row r="36" ht="15.75" spans="1:57">
      <c r="A36" s="31">
        <v>26</v>
      </c>
      <c r="B36" s="30" t="s">
        <v>65</v>
      </c>
      <c r="C36" s="30" t="s">
        <v>67</v>
      </c>
      <c r="D36" s="30">
        <v>2.1337</v>
      </c>
      <c r="E36" s="30">
        <v>-4.4204</v>
      </c>
      <c r="F36" s="30">
        <v>8.6877</v>
      </c>
      <c r="G36" s="30">
        <v>0.9764</v>
      </c>
      <c r="H36" s="30"/>
      <c r="N36" s="31">
        <v>26</v>
      </c>
      <c r="O36" s="29" t="s">
        <v>67</v>
      </c>
      <c r="P36" s="29" t="s">
        <v>66</v>
      </c>
      <c r="Q36" s="32">
        <v>4.1213</v>
      </c>
      <c r="R36" s="32">
        <v>-9.1027</v>
      </c>
      <c r="S36" s="32">
        <v>17.3454</v>
      </c>
      <c r="T36" s="32">
        <v>0.9816</v>
      </c>
      <c r="U36" s="32"/>
      <c r="Z36" s="31">
        <v>26</v>
      </c>
      <c r="AA36" s="29" t="s">
        <v>67</v>
      </c>
      <c r="AB36" s="29" t="s">
        <v>66</v>
      </c>
      <c r="AC36" s="32">
        <v>-6.6853</v>
      </c>
      <c r="AD36" s="32">
        <v>-25.9108</v>
      </c>
      <c r="AE36" s="32">
        <v>12.5401</v>
      </c>
      <c r="AF36" s="32">
        <v>0.9659</v>
      </c>
      <c r="AG36" s="32"/>
      <c r="AL36" s="31">
        <v>26</v>
      </c>
      <c r="AM36" s="29" t="s">
        <v>67</v>
      </c>
      <c r="AN36" s="29" t="s">
        <v>66</v>
      </c>
      <c r="AO36" s="32">
        <v>-9.0663</v>
      </c>
      <c r="AP36" s="32">
        <v>-26.5334</v>
      </c>
      <c r="AQ36" s="32">
        <v>8.4008</v>
      </c>
      <c r="AR36" s="32">
        <v>0.7666</v>
      </c>
      <c r="AS36" s="32"/>
      <c r="AX36" s="31">
        <v>27</v>
      </c>
      <c r="AY36" s="29" t="s">
        <v>67</v>
      </c>
      <c r="AZ36" s="29" t="s">
        <v>68</v>
      </c>
      <c r="BA36" s="32">
        <v>45.218</v>
      </c>
      <c r="BB36" s="32">
        <v>28.9126</v>
      </c>
      <c r="BC36" s="32">
        <v>61.5234</v>
      </c>
      <c r="BD36" s="32">
        <v>0</v>
      </c>
      <c r="BE36" s="29" t="s">
        <v>163</v>
      </c>
    </row>
    <row r="37" s="3" customFormat="1" ht="15.75" spans="1:57">
      <c r="A37" s="31">
        <v>27</v>
      </c>
      <c r="B37" s="30" t="s">
        <v>65</v>
      </c>
      <c r="C37" s="30" t="s">
        <v>66</v>
      </c>
      <c r="D37" s="30">
        <v>6.5733</v>
      </c>
      <c r="E37" s="30">
        <v>0.0193</v>
      </c>
      <c r="F37" s="30">
        <v>13.1274</v>
      </c>
      <c r="G37" s="30">
        <v>0.0487</v>
      </c>
      <c r="H37" s="30" t="s">
        <v>165</v>
      </c>
      <c r="I37" s="33"/>
      <c r="J37" s="33"/>
      <c r="N37" s="31">
        <v>27</v>
      </c>
      <c r="O37" s="29" t="s">
        <v>67</v>
      </c>
      <c r="P37" s="29" t="s">
        <v>68</v>
      </c>
      <c r="Q37" s="32">
        <v>19.946</v>
      </c>
      <c r="R37" s="32">
        <v>6.7219</v>
      </c>
      <c r="S37" s="32">
        <v>33.1701</v>
      </c>
      <c r="T37" s="32">
        <v>0.0001</v>
      </c>
      <c r="U37" s="29" t="s">
        <v>163</v>
      </c>
      <c r="Z37" s="31">
        <v>27</v>
      </c>
      <c r="AA37" s="29" t="s">
        <v>67</v>
      </c>
      <c r="AB37" s="29" t="s">
        <v>68</v>
      </c>
      <c r="AC37" s="32">
        <v>12.9127</v>
      </c>
      <c r="AD37" s="32">
        <v>-6.3128</v>
      </c>
      <c r="AE37" s="32">
        <v>32.1381</v>
      </c>
      <c r="AF37" s="32">
        <v>0.4575</v>
      </c>
      <c r="AG37" s="32"/>
      <c r="AL37" s="31">
        <v>27</v>
      </c>
      <c r="AM37" s="29" t="s">
        <v>67</v>
      </c>
      <c r="AN37" s="29" t="s">
        <v>68</v>
      </c>
      <c r="AO37" s="32">
        <v>33.0563</v>
      </c>
      <c r="AP37" s="32">
        <v>15.5892</v>
      </c>
      <c r="AQ37" s="32">
        <v>50.5234</v>
      </c>
      <c r="AR37" s="32">
        <v>0</v>
      </c>
      <c r="AS37" s="29" t="s">
        <v>163</v>
      </c>
      <c r="AX37" s="31">
        <v>28</v>
      </c>
      <c r="AY37" s="29" t="s">
        <v>66</v>
      </c>
      <c r="AZ37" s="29" t="s">
        <v>68</v>
      </c>
      <c r="BA37" s="32">
        <v>61.054</v>
      </c>
      <c r="BB37" s="32">
        <v>44.7486</v>
      </c>
      <c r="BC37" s="32">
        <v>77.3594</v>
      </c>
      <c r="BD37" s="32">
        <v>0</v>
      </c>
      <c r="BE37" s="29" t="s">
        <v>163</v>
      </c>
    </row>
    <row r="38" ht="15.75" spans="1:57">
      <c r="A38" s="31">
        <v>28</v>
      </c>
      <c r="B38" s="30" t="s">
        <v>67</v>
      </c>
      <c r="C38" s="30" t="s">
        <v>66</v>
      </c>
      <c r="D38" s="30">
        <v>4.4397</v>
      </c>
      <c r="E38" s="30">
        <v>-2.1144</v>
      </c>
      <c r="F38" s="30">
        <v>10.9937</v>
      </c>
      <c r="G38" s="30">
        <v>0.4458</v>
      </c>
      <c r="H38" s="30"/>
      <c r="N38" s="31">
        <v>28</v>
      </c>
      <c r="O38" s="29" t="s">
        <v>66</v>
      </c>
      <c r="P38" s="29" t="s">
        <v>68</v>
      </c>
      <c r="Q38" s="32">
        <v>15.8247</v>
      </c>
      <c r="R38" s="32">
        <v>2.6006</v>
      </c>
      <c r="S38" s="32">
        <v>29.0487</v>
      </c>
      <c r="T38" s="32">
        <v>0.007</v>
      </c>
      <c r="U38" s="29" t="s">
        <v>164</v>
      </c>
      <c r="Z38" s="31">
        <v>28</v>
      </c>
      <c r="AA38" s="29" t="s">
        <v>66</v>
      </c>
      <c r="AB38" s="29" t="s">
        <v>68</v>
      </c>
      <c r="AC38" s="32">
        <v>19.598</v>
      </c>
      <c r="AD38" s="32">
        <v>0.3726</v>
      </c>
      <c r="AE38" s="32">
        <v>38.8234</v>
      </c>
      <c r="AF38" s="32">
        <v>0.042</v>
      </c>
      <c r="AG38" s="29" t="s">
        <v>165</v>
      </c>
      <c r="AL38" s="31">
        <v>28</v>
      </c>
      <c r="AM38" s="29" t="s">
        <v>66</v>
      </c>
      <c r="AN38" s="29" t="s">
        <v>68</v>
      </c>
      <c r="AO38" s="32">
        <v>42.1227</v>
      </c>
      <c r="AP38" s="32">
        <v>24.6556</v>
      </c>
      <c r="AQ38" s="32">
        <v>59.5898</v>
      </c>
      <c r="AR38" s="32">
        <v>0</v>
      </c>
      <c r="AS38" s="29" t="s">
        <v>163</v>
      </c>
    </row>
    <row r="65" s="3" customFormat="1" spans="2:10">
      <c r="B65" s="34"/>
      <c r="C65" s="33"/>
      <c r="D65" s="33"/>
      <c r="E65" s="33"/>
      <c r="F65" s="33"/>
      <c r="G65" s="33"/>
      <c r="H65" s="33"/>
      <c r="I65" s="33"/>
      <c r="J65" s="33"/>
    </row>
  </sheetData>
  <mergeCells count="15">
    <mergeCell ref="B1:J1"/>
    <mergeCell ref="N1:V1"/>
    <mergeCell ref="Z1:AH1"/>
    <mergeCell ref="AL1:AT1"/>
    <mergeCell ref="AX1:BF1"/>
    <mergeCell ref="C6:J6"/>
    <mergeCell ref="O6:V6"/>
    <mergeCell ref="AA6:AH6"/>
    <mergeCell ref="AM6:AT6"/>
    <mergeCell ref="AY6:BF6"/>
    <mergeCell ref="AY8:BE8"/>
    <mergeCell ref="B9:H9"/>
    <mergeCell ref="N9:T9"/>
    <mergeCell ref="AA9:AG9"/>
    <mergeCell ref="AM9:AS9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Data in figure13 and table 3</vt:lpstr>
      <vt:lpstr>Data in table 4</vt:lpstr>
      <vt:lpstr>Data in table 5</vt:lpstr>
      <vt:lpstr>Data in figure 14</vt:lpstr>
      <vt:lpstr>Data in table 7</vt:lpstr>
      <vt:lpstr>Data in table 8</vt:lpstr>
      <vt:lpstr>Data in figure 15</vt:lpstr>
      <vt:lpstr>Data in figure16</vt:lpstr>
      <vt:lpstr>Data in table 9 &amp; figure 17</vt:lpstr>
      <vt:lpstr>Data in table 10</vt:lpstr>
      <vt:lpstr>Parameter analysis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周世豪</dc:creator>
  <cp:lastModifiedBy>阿毛</cp:lastModifiedBy>
  <dcterms:created xsi:type="dcterms:W3CDTF">2023-05-12T11:23:00Z</dcterms:created>
  <dcterms:modified xsi:type="dcterms:W3CDTF">2026-03-08T04:52:39Z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B88CC630715D4155AD5422B96C3434B6_13</vt:lpwstr>
  </property>
  <property fmtid="{D5CDD505-2E9C-101B-9397-08002B2CF9AE}" pid="4" name="CalculationRule">
    <vt:i4>0</vt:i4>
  </property>
</Properties>
</file>